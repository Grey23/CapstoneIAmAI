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xr:revisionPtr revIDLastSave="0" documentId="8_{A92DCB0E-B827-4B8F-890C-997DA4C954FE}" xr6:coauthVersionLast="47" xr6:coauthVersionMax="47" xr10:uidLastSave="{00000000-0000-0000-0000-000000000000}"/>
  <bookViews>
    <workbookView xWindow="-120" yWindow="-120" windowWidth="29040" windowHeight="15720" tabRatio="415" xr2:uid="{00000000-000D-0000-FFFF-FFFF00000000}"/>
  </bookViews>
  <sheets>
    <sheet name="Gantt" sheetId="11" r:id="rId1"/>
    <sheet name="About" sheetId="12" r:id="rId2"/>
  </sheets>
  <definedNames>
    <definedName name="_xlnm.Print_Titles" localSheetId="0">Gantt!$4:$7</definedName>
    <definedName name="Project_Start">Gantt!$E$3</definedName>
    <definedName name="Scrolling_Increment">Gantt!$E$4</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1" l="1"/>
  <c r="E22" i="11" s="1"/>
  <c r="E23" i="11" s="1"/>
  <c r="E25" i="11" l="1"/>
  <c r="H5" i="11"/>
  <c r="E19" i="11" l="1"/>
  <c r="H6" i="11"/>
  <c r="H9" i="11"/>
  <c r="H7" i="11"/>
  <c r="H10" i="11"/>
  <c r="H22" i="11"/>
  <c r="H21" i="11"/>
  <c r="I5" i="11"/>
  <c r="H20" i="11"/>
  <c r="H15" i="11"/>
  <c r="H23" i="11"/>
  <c r="H32" i="11"/>
  <c r="H13" i="11"/>
  <c r="H14" i="11"/>
  <c r="H16" i="11"/>
  <c r="H26" i="11"/>
  <c r="H17" i="11"/>
  <c r="H31" i="11"/>
  <c r="H25" i="11"/>
  <c r="H11" i="11"/>
  <c r="H12" i="11"/>
  <c r="H4" i="11"/>
  <c r="H30" i="11"/>
  <c r="E24" i="11" l="1"/>
  <c r="I24" i="11" s="1"/>
  <c r="E20" i="11"/>
  <c r="H19" i="11" s="1"/>
  <c r="H18" i="11"/>
  <c r="I19" i="11"/>
  <c r="I18" i="11"/>
  <c r="I14" i="11"/>
  <c r="I23" i="11"/>
  <c r="I16" i="11"/>
  <c r="I12" i="11"/>
  <c r="I25" i="11"/>
  <c r="I9" i="11"/>
  <c r="I7" i="11"/>
  <c r="I20" i="11"/>
  <c r="I21" i="11"/>
  <c r="J5" i="11"/>
  <c r="J18" i="11" s="1"/>
  <c r="I15" i="11"/>
  <c r="I11" i="11"/>
  <c r="I31" i="11"/>
  <c r="I17" i="11"/>
  <c r="I13" i="11"/>
  <c r="I22" i="11"/>
  <c r="I26" i="11"/>
  <c r="I10" i="11"/>
  <c r="I30" i="11"/>
  <c r="I32" i="11"/>
  <c r="K5" i="11" l="1"/>
  <c r="K19" i="11" s="1"/>
  <c r="E27" i="11"/>
  <c r="E28" i="11"/>
  <c r="J28" i="11" s="1"/>
  <c r="H24" i="11"/>
  <c r="E29" i="11"/>
  <c r="J23" i="11"/>
  <c r="J19" i="11"/>
  <c r="K7" i="11"/>
  <c r="J13" i="11"/>
  <c r="J7" i="11"/>
  <c r="J15" i="11"/>
  <c r="J20" i="11"/>
  <c r="J11" i="11"/>
  <c r="J24" i="11"/>
  <c r="J17" i="11"/>
  <c r="J31" i="11"/>
  <c r="J12" i="11"/>
  <c r="J16" i="11"/>
  <c r="J30" i="11"/>
  <c r="J22" i="11"/>
  <c r="J10" i="11"/>
  <c r="J32" i="11"/>
  <c r="J21" i="11"/>
  <c r="J25" i="11"/>
  <c r="J14" i="11"/>
  <c r="J9" i="11"/>
  <c r="J26" i="11"/>
  <c r="K25" i="11"/>
  <c r="K16" i="11"/>
  <c r="K22" i="11"/>
  <c r="K20" i="11"/>
  <c r="K15" i="11"/>
  <c r="K13" i="11"/>
  <c r="K28" i="11"/>
  <c r="K9" i="11"/>
  <c r="K23" i="11"/>
  <c r="K11" i="11"/>
  <c r="K24" i="11"/>
  <c r="K21" i="11"/>
  <c r="K14" i="11"/>
  <c r="K31" i="11"/>
  <c r="K17" i="11"/>
  <c r="K12" i="11"/>
  <c r="K30" i="11" l="1"/>
  <c r="K29" i="11"/>
  <c r="K10" i="11"/>
  <c r="K26" i="11"/>
  <c r="L5" i="11"/>
  <c r="L31" i="11" s="1"/>
  <c r="K27" i="11"/>
  <c r="K32" i="11"/>
  <c r="K18" i="11"/>
  <c r="J27" i="11"/>
  <c r="J29" i="11"/>
  <c r="L19" i="11"/>
  <c r="L18" i="11"/>
  <c r="H27" i="11"/>
  <c r="I27" i="11"/>
  <c r="H28" i="11"/>
  <c r="I28" i="11"/>
  <c r="H29" i="11"/>
  <c r="I29" i="11"/>
  <c r="L28" i="11"/>
  <c r="L15" i="11"/>
  <c r="L29" i="11"/>
  <c r="L26" i="11"/>
  <c r="L12" i="11"/>
  <c r="L20" i="11"/>
  <c r="L13" i="11"/>
  <c r="L10" i="11"/>
  <c r="L25" i="11"/>
  <c r="L21" i="11"/>
  <c r="L32" i="11"/>
  <c r="L24" i="11"/>
  <c r="M5" i="11"/>
  <c r="L9" i="11" l="1"/>
  <c r="L27" i="11"/>
  <c r="L30" i="11"/>
  <c r="L23" i="11"/>
  <c r="L17" i="11"/>
  <c r="L14" i="11"/>
  <c r="L16" i="11"/>
  <c r="L7" i="11"/>
  <c r="L11" i="11"/>
  <c r="L22" i="11"/>
  <c r="M19" i="11"/>
  <c r="M18" i="11"/>
  <c r="M26" i="11"/>
  <c r="M23" i="11"/>
  <c r="M29" i="11"/>
  <c r="M13" i="11"/>
  <c r="M14" i="11"/>
  <c r="M27" i="11"/>
  <c r="M16" i="11"/>
  <c r="M30" i="11"/>
  <c r="M15" i="11"/>
  <c r="M20" i="11"/>
  <c r="M28" i="11"/>
  <c r="M11" i="11"/>
  <c r="M17" i="11"/>
  <c r="M12" i="11"/>
  <c r="M25" i="11"/>
  <c r="M24" i="11"/>
  <c r="N5" i="11"/>
  <c r="M32" i="11"/>
  <c r="M7" i="11"/>
  <c r="M22" i="11"/>
  <c r="M10" i="11"/>
  <c r="M21" i="11"/>
  <c r="M9" i="11"/>
  <c r="M31" i="11"/>
  <c r="N19" i="11" l="1"/>
  <c r="N18" i="11"/>
  <c r="N20" i="11"/>
  <c r="N31" i="11"/>
  <c r="N16" i="11"/>
  <c r="N27" i="11"/>
  <c r="N30" i="11"/>
  <c r="N9" i="11"/>
  <c r="O5" i="11"/>
  <c r="N29" i="11"/>
  <c r="N28" i="11"/>
  <c r="N24" i="11"/>
  <c r="N13" i="11"/>
  <c r="N11" i="11"/>
  <c r="N25" i="11"/>
  <c r="N14" i="11"/>
  <c r="N23" i="11"/>
  <c r="N17" i="11"/>
  <c r="N12" i="11"/>
  <c r="N22" i="11"/>
  <c r="N15" i="11"/>
  <c r="N21" i="11"/>
  <c r="N26" i="11"/>
  <c r="N32" i="11"/>
  <c r="N7" i="11"/>
  <c r="N10" i="11"/>
  <c r="O19" i="11" l="1"/>
  <c r="O18" i="11"/>
  <c r="O6" i="11"/>
  <c r="O10" i="11"/>
  <c r="O27" i="11"/>
  <c r="O21" i="11"/>
  <c r="O22" i="11"/>
  <c r="O15" i="11"/>
  <c r="O4" i="11"/>
  <c r="P5" i="11"/>
  <c r="O17" i="11"/>
  <c r="O23" i="11"/>
  <c r="O11" i="11"/>
  <c r="O26" i="11"/>
  <c r="O16" i="11"/>
  <c r="O13" i="11"/>
  <c r="O14" i="11"/>
  <c r="O32" i="11"/>
  <c r="O30" i="11"/>
  <c r="O24" i="11"/>
  <c r="O31" i="11"/>
  <c r="O29" i="11"/>
  <c r="O7" i="11"/>
  <c r="O20" i="11"/>
  <c r="O12" i="11"/>
  <c r="O25" i="11"/>
  <c r="O9" i="11"/>
  <c r="O28" i="11"/>
  <c r="P19" i="11" l="1"/>
  <c r="P18" i="11"/>
  <c r="P12" i="11"/>
  <c r="P24" i="11"/>
  <c r="P22" i="11"/>
  <c r="P15" i="11"/>
  <c r="P7" i="11"/>
  <c r="P9" i="11"/>
  <c r="Q5" i="11"/>
  <c r="P17" i="11"/>
  <c r="P30" i="11"/>
  <c r="P21" i="11"/>
  <c r="P13" i="11"/>
  <c r="P11" i="11"/>
  <c r="P31" i="11"/>
  <c r="P14" i="11"/>
  <c r="P26" i="11"/>
  <c r="P28" i="11"/>
  <c r="P27" i="11"/>
  <c r="P29" i="11"/>
  <c r="P32" i="11"/>
  <c r="P10" i="11"/>
  <c r="P16" i="11"/>
  <c r="P25" i="11"/>
  <c r="P20" i="11"/>
  <c r="P23" i="11"/>
  <c r="Q19" i="11" l="1"/>
  <c r="Q18" i="11"/>
  <c r="R5" i="11"/>
  <c r="Q17" i="11"/>
  <c r="Q9" i="11"/>
  <c r="Q14" i="11"/>
  <c r="Q12" i="11"/>
  <c r="Q30" i="11"/>
  <c r="Q22" i="11"/>
  <c r="Q13" i="11"/>
  <c r="Q25" i="11"/>
  <c r="Q23" i="11"/>
  <c r="Q28" i="11"/>
  <c r="Q10" i="11"/>
  <c r="Q15" i="11"/>
  <c r="Q20" i="11"/>
  <c r="Q11" i="11"/>
  <c r="Q21" i="11"/>
  <c r="Q24" i="11"/>
  <c r="Q7" i="11"/>
  <c r="Q29" i="11"/>
  <c r="Q32" i="11"/>
  <c r="Q27" i="11"/>
  <c r="Q26" i="11"/>
  <c r="Q16" i="11"/>
  <c r="Q31" i="11"/>
  <c r="R19" i="11" l="1"/>
  <c r="R18" i="11"/>
  <c r="R7" i="11"/>
  <c r="R10" i="11"/>
  <c r="R9" i="11"/>
  <c r="R30" i="11"/>
  <c r="R21" i="11"/>
  <c r="R22" i="11"/>
  <c r="R14" i="11"/>
  <c r="R17" i="11"/>
  <c r="R26" i="11"/>
  <c r="R13" i="11"/>
  <c r="R23" i="11"/>
  <c r="R20" i="11"/>
  <c r="S5" i="11"/>
  <c r="R25" i="11"/>
  <c r="R16" i="11"/>
  <c r="R24" i="11"/>
  <c r="R29" i="11"/>
  <c r="R31" i="11"/>
  <c r="R15" i="11"/>
  <c r="R12" i="11"/>
  <c r="R27" i="11"/>
  <c r="R11" i="11"/>
  <c r="R28" i="11"/>
  <c r="R32" i="11"/>
  <c r="S19" i="11" l="1"/>
  <c r="S18" i="11"/>
  <c r="S26" i="11"/>
  <c r="S25" i="11"/>
  <c r="S14" i="11"/>
  <c r="S15" i="11"/>
  <c r="S12" i="11"/>
  <c r="S16" i="11"/>
  <c r="S23" i="11"/>
  <c r="S7" i="11"/>
  <c r="S24" i="11"/>
  <c r="S28" i="11"/>
  <c r="S30" i="11"/>
  <c r="S31" i="11"/>
  <c r="S32" i="11"/>
  <c r="S9" i="11"/>
  <c r="S27" i="11"/>
  <c r="S29" i="11"/>
  <c r="S10" i="11"/>
  <c r="S11" i="11"/>
  <c r="S17" i="11"/>
  <c r="T5" i="11"/>
  <c r="S22" i="11"/>
  <c r="S13" i="11"/>
  <c r="S21" i="11"/>
  <c r="S20" i="11"/>
  <c r="T19" i="11" l="1"/>
  <c r="T18" i="11"/>
  <c r="U5" i="11"/>
  <c r="T7" i="11"/>
  <c r="T10" i="11"/>
  <c r="T9" i="11"/>
  <c r="T32" i="11"/>
  <c r="T16" i="11"/>
  <c r="T26" i="11"/>
  <c r="T22" i="11"/>
  <c r="T13" i="11"/>
  <c r="T14" i="11"/>
  <c r="T25" i="11"/>
  <c r="T23" i="11"/>
  <c r="T31" i="11"/>
  <c r="T17" i="11"/>
  <c r="T20" i="11"/>
  <c r="T15" i="11"/>
  <c r="T11" i="11"/>
  <c r="T30" i="11"/>
  <c r="T29" i="11"/>
  <c r="T28" i="11"/>
  <c r="T24" i="11"/>
  <c r="T27" i="11"/>
  <c r="T12" i="11"/>
  <c r="T21" i="11"/>
  <c r="U19" i="11" l="1"/>
  <c r="U18" i="11"/>
  <c r="U17" i="11"/>
  <c r="U21" i="11"/>
  <c r="U20" i="11"/>
  <c r="U23" i="11"/>
  <c r="U11" i="11"/>
  <c r="U22" i="11"/>
  <c r="U27" i="11"/>
  <c r="U14" i="11"/>
  <c r="U24" i="11"/>
  <c r="U10" i="11"/>
  <c r="U15" i="11"/>
  <c r="U29" i="11"/>
  <c r="U28" i="11"/>
  <c r="V5" i="11"/>
  <c r="U31" i="11"/>
  <c r="U13" i="11"/>
  <c r="U25" i="11"/>
  <c r="U7" i="11"/>
  <c r="U26" i="11"/>
  <c r="U30" i="11"/>
  <c r="U9" i="11"/>
  <c r="U12" i="11"/>
  <c r="U32" i="11"/>
  <c r="U16" i="11"/>
  <c r="V19" i="11" l="1"/>
  <c r="V18" i="11"/>
  <c r="V6" i="11"/>
  <c r="V17" i="11"/>
  <c r="V32" i="11"/>
  <c r="V30" i="11"/>
  <c r="V31" i="11"/>
  <c r="V21" i="11"/>
  <c r="V29" i="11"/>
  <c r="V27" i="11"/>
  <c r="V25" i="11"/>
  <c r="V15" i="11"/>
  <c r="V4" i="11"/>
  <c r="V12" i="11"/>
  <c r="V24" i="11"/>
  <c r="V16" i="11"/>
  <c r="V11" i="11"/>
  <c r="W5" i="11"/>
  <c r="V7" i="11"/>
  <c r="V9" i="11"/>
  <c r="V28" i="11"/>
  <c r="V22" i="11"/>
  <c r="V20" i="11"/>
  <c r="V26" i="11"/>
  <c r="V10" i="11"/>
  <c r="V23" i="11"/>
  <c r="V14" i="11"/>
  <c r="V13" i="11"/>
  <c r="W19" i="11" l="1"/>
  <c r="W18" i="11"/>
  <c r="X5" i="11"/>
  <c r="W27" i="11"/>
  <c r="W12" i="11"/>
  <c r="W26" i="11"/>
  <c r="W32" i="11"/>
  <c r="W22" i="11"/>
  <c r="W30" i="11"/>
  <c r="W21" i="11"/>
  <c r="W11" i="11"/>
  <c r="W15" i="11"/>
  <c r="W13" i="11"/>
  <c r="W23" i="11"/>
  <c r="W25" i="11"/>
  <c r="W28" i="11"/>
  <c r="W16" i="11"/>
  <c r="W24" i="11"/>
  <c r="W17" i="11"/>
  <c r="W20" i="11"/>
  <c r="W10" i="11"/>
  <c r="W29" i="11"/>
  <c r="W14" i="11"/>
  <c r="W31" i="11"/>
  <c r="W7" i="11"/>
  <c r="W9" i="11"/>
  <c r="X19" i="11" l="1"/>
  <c r="X18" i="11"/>
  <c r="X27" i="11"/>
  <c r="X29" i="11"/>
  <c r="X13" i="11"/>
  <c r="X30" i="11"/>
  <c r="X17" i="11"/>
  <c r="Y5" i="11"/>
  <c r="X32" i="11"/>
  <c r="X26" i="11"/>
  <c r="X16" i="11"/>
  <c r="X12" i="11"/>
  <c r="X11" i="11"/>
  <c r="X7" i="11"/>
  <c r="X28" i="11"/>
  <c r="X23" i="11"/>
  <c r="X15" i="11"/>
  <c r="X31" i="11"/>
  <c r="X21" i="11"/>
  <c r="X20" i="11"/>
  <c r="X9" i="11"/>
  <c r="X10" i="11"/>
  <c r="X24" i="11"/>
  <c r="X14" i="11"/>
  <c r="X25" i="11"/>
  <c r="X22" i="11"/>
  <c r="Y19" i="11" l="1"/>
  <c r="Y18" i="11"/>
  <c r="Y7" i="11"/>
  <c r="Y31" i="11"/>
  <c r="Y10" i="11"/>
  <c r="Y23" i="11"/>
  <c r="Y12" i="11"/>
  <c r="Y11" i="11"/>
  <c r="Y26" i="11"/>
  <c r="Y29" i="11"/>
  <c r="Y16" i="11"/>
  <c r="Y25" i="11"/>
  <c r="Y17" i="11"/>
  <c r="Z5" i="11"/>
  <c r="Y21" i="11"/>
  <c r="Y30" i="11"/>
  <c r="Y28" i="11"/>
  <c r="Y32" i="11"/>
  <c r="Y20" i="11"/>
  <c r="Y22" i="11"/>
  <c r="Y9" i="11"/>
  <c r="Y27" i="11"/>
  <c r="Y15" i="11"/>
  <c r="Y13" i="11"/>
  <c r="Y14" i="11"/>
  <c r="Y24" i="11"/>
  <c r="Z19" i="11" l="1"/>
  <c r="Z18" i="11"/>
  <c r="Z29" i="11"/>
  <c r="Z7" i="11"/>
  <c r="Z14" i="11"/>
  <c r="Z16" i="11"/>
  <c r="Z27" i="11"/>
  <c r="Z23" i="11"/>
  <c r="Z21" i="11"/>
  <c r="Z26" i="11"/>
  <c r="Z31" i="11"/>
  <c r="Z17" i="11"/>
  <c r="Z9" i="11"/>
  <c r="Z30" i="11"/>
  <c r="Z11" i="11"/>
  <c r="Z13" i="11"/>
  <c r="Z24" i="11"/>
  <c r="Z10" i="11"/>
  <c r="Z12" i="11"/>
  <c r="Z25" i="11"/>
  <c r="Z20" i="11"/>
  <c r="Z32" i="11"/>
  <c r="AA5" i="11"/>
  <c r="Z28" i="11"/>
  <c r="Z15" i="11"/>
  <c r="Z22" i="11"/>
  <c r="AA19" i="11" l="1"/>
  <c r="AA18" i="11"/>
  <c r="AB5" i="11"/>
  <c r="AA27" i="11"/>
  <c r="AA16" i="11"/>
  <c r="AA29" i="11"/>
  <c r="AA23" i="11"/>
  <c r="AA13" i="11"/>
  <c r="AA25" i="11"/>
  <c r="AA24" i="11"/>
  <c r="AA11" i="11"/>
  <c r="AA30" i="11"/>
  <c r="AA9" i="11"/>
  <c r="AA32" i="11"/>
  <c r="AA17" i="11"/>
  <c r="AA22" i="11"/>
  <c r="AA12" i="11"/>
  <c r="AA10" i="11"/>
  <c r="AA31" i="11"/>
  <c r="AA26" i="11"/>
  <c r="AA14" i="11"/>
  <c r="AA28" i="11"/>
  <c r="AA15" i="11"/>
  <c r="AA21" i="11"/>
  <c r="AA20" i="11"/>
  <c r="AA7" i="11"/>
  <c r="AB19" i="11" l="1"/>
  <c r="AB18" i="11"/>
  <c r="AB11" i="11"/>
  <c r="AB24" i="11"/>
  <c r="AB16" i="11"/>
  <c r="AB17" i="11"/>
  <c r="AB32" i="11"/>
  <c r="AB9" i="11"/>
  <c r="AC5" i="11"/>
  <c r="AB15" i="11"/>
  <c r="AB22" i="11"/>
  <c r="AB14" i="11"/>
  <c r="AB29" i="11"/>
  <c r="AB30" i="11"/>
  <c r="AB26" i="11"/>
  <c r="AB12" i="11"/>
  <c r="AB31" i="11"/>
  <c r="AB13" i="11"/>
  <c r="AB10" i="11"/>
  <c r="AB20" i="11"/>
  <c r="AB7" i="11"/>
  <c r="AB27" i="11"/>
  <c r="AB25" i="11"/>
  <c r="AB23" i="11"/>
  <c r="AB28" i="11"/>
  <c r="AB21" i="11"/>
  <c r="AC19" i="11" l="1"/>
  <c r="AC18" i="11"/>
  <c r="AC6" i="11"/>
  <c r="AD5" i="11"/>
  <c r="AC16" i="11"/>
  <c r="AC30" i="11"/>
  <c r="AC23" i="11"/>
  <c r="AC20" i="11"/>
  <c r="AC7" i="11"/>
  <c r="AC11" i="11"/>
  <c r="AC21" i="11"/>
  <c r="AC26" i="11"/>
  <c r="AC28" i="11"/>
  <c r="AC15" i="11"/>
  <c r="AC29" i="11"/>
  <c r="AC10" i="11"/>
  <c r="AC17" i="11"/>
  <c r="AC27" i="11"/>
  <c r="AC32" i="11"/>
  <c r="AC12" i="11"/>
  <c r="AC9" i="11"/>
  <c r="AC25" i="11"/>
  <c r="AC22" i="11"/>
  <c r="AC24" i="11"/>
  <c r="AC31" i="11"/>
  <c r="AC4" i="11"/>
  <c r="AC14" i="11"/>
  <c r="AC13" i="11"/>
  <c r="AD19" i="11" l="1"/>
  <c r="AD18" i="11"/>
  <c r="AD21" i="11"/>
  <c r="AD16" i="11"/>
  <c r="AD30" i="11"/>
  <c r="AD14" i="11"/>
  <c r="AD27" i="11"/>
  <c r="AE5" i="11"/>
  <c r="AD11" i="11"/>
  <c r="AD20" i="11"/>
  <c r="AD15" i="11"/>
  <c r="AD28" i="11"/>
  <c r="AD25" i="11"/>
  <c r="AD12" i="11"/>
  <c r="AD9" i="11"/>
  <c r="AD10" i="11"/>
  <c r="AD23" i="11"/>
  <c r="AD26" i="11"/>
  <c r="AD13" i="11"/>
  <c r="AD29" i="11"/>
  <c r="AD7" i="11"/>
  <c r="AD22" i="11"/>
  <c r="AD32" i="11"/>
  <c r="AD31" i="11"/>
  <c r="AD24" i="11"/>
  <c r="AD17" i="11"/>
  <c r="AE19" i="11" l="1"/>
  <c r="AE18" i="11"/>
  <c r="AE30" i="11"/>
  <c r="AE26" i="11"/>
  <c r="AE17" i="11"/>
  <c r="AE16" i="11"/>
  <c r="AE28" i="11"/>
  <c r="AE11" i="11"/>
  <c r="AE12" i="11"/>
  <c r="AE15" i="11"/>
  <c r="AE25" i="11"/>
  <c r="AE31" i="11"/>
  <c r="AE22" i="11"/>
  <c r="AE9" i="11"/>
  <c r="AE10" i="11"/>
  <c r="AE23" i="11"/>
  <c r="AE21" i="11"/>
  <c r="AE29" i="11"/>
  <c r="AE13" i="11"/>
  <c r="AE20" i="11"/>
  <c r="AF5" i="11"/>
  <c r="AE24" i="11"/>
  <c r="AE27" i="11"/>
  <c r="AE32" i="11"/>
  <c r="AE7" i="11"/>
  <c r="AE14" i="11"/>
  <c r="AF19" i="11" l="1"/>
  <c r="AF18" i="11"/>
  <c r="AF7" i="11"/>
  <c r="AF11" i="11"/>
  <c r="AF28" i="11"/>
  <c r="AF16" i="11"/>
  <c r="AF15" i="11"/>
  <c r="AF20" i="11"/>
  <c r="AF9" i="11"/>
  <c r="AF12" i="11"/>
  <c r="AF24" i="11"/>
  <c r="AF14" i="11"/>
  <c r="AF17" i="11"/>
  <c r="AF22" i="11"/>
  <c r="AF31" i="11"/>
  <c r="AF13" i="11"/>
  <c r="AF32" i="11"/>
  <c r="AF10" i="11"/>
  <c r="AG5" i="11"/>
  <c r="AF27" i="11"/>
  <c r="AF21" i="11"/>
  <c r="AF23" i="11"/>
  <c r="AF30" i="11"/>
  <c r="AF29" i="11"/>
  <c r="AF25" i="11"/>
  <c r="AF26" i="11"/>
  <c r="AG19" i="11" l="1"/>
  <c r="AG18" i="11"/>
  <c r="AH5" i="11"/>
  <c r="AG27" i="11"/>
  <c r="AG7" i="11"/>
  <c r="AG29" i="11"/>
  <c r="AG32" i="11"/>
  <c r="AG15" i="11"/>
  <c r="AG24" i="11"/>
  <c r="AG10" i="11"/>
  <c r="AG31" i="11"/>
  <c r="AG11" i="11"/>
  <c r="AG13" i="11"/>
  <c r="AG23" i="11"/>
  <c r="AG20" i="11"/>
  <c r="AG14" i="11"/>
  <c r="AG21" i="11"/>
  <c r="AG30" i="11"/>
  <c r="AG25" i="11"/>
  <c r="AG17" i="11"/>
  <c r="AG16" i="11"/>
  <c r="AG12" i="11"/>
  <c r="AG22" i="11"/>
  <c r="AG28" i="11"/>
  <c r="AG9" i="11"/>
  <c r="AG26" i="11"/>
  <c r="AH19" i="11" l="1"/>
  <c r="AH18" i="11"/>
  <c r="AH24" i="11"/>
  <c r="AH31" i="11"/>
  <c r="AH14" i="11"/>
  <c r="AH17" i="11"/>
  <c r="AH10" i="11"/>
  <c r="AH26" i="11"/>
  <c r="AI5" i="11"/>
  <c r="AH13" i="11"/>
  <c r="AH9" i="11"/>
  <c r="AH29" i="11"/>
  <c r="AH16" i="11"/>
  <c r="AH32" i="11"/>
  <c r="AH22" i="11"/>
  <c r="AH15" i="11"/>
  <c r="AH12" i="11"/>
  <c r="AH20" i="11"/>
  <c r="AH21" i="11"/>
  <c r="AH27" i="11"/>
  <c r="AH30" i="11"/>
  <c r="AH11" i="11"/>
  <c r="AH25" i="11"/>
  <c r="AH23" i="11"/>
  <c r="AH7" i="11"/>
  <c r="AH28" i="11"/>
  <c r="AI19" i="11" l="1"/>
  <c r="AI18" i="11"/>
  <c r="AI7" i="11"/>
  <c r="AI14" i="11"/>
  <c r="AI15" i="11"/>
  <c r="AI11" i="11"/>
  <c r="AI30" i="11"/>
  <c r="AI20" i="11"/>
  <c r="AI9" i="11"/>
  <c r="AI17" i="11"/>
  <c r="AI22" i="11"/>
  <c r="AI24" i="11"/>
  <c r="AI23" i="11"/>
  <c r="AJ5" i="11"/>
  <c r="AI10" i="11"/>
  <c r="AI25" i="11"/>
  <c r="AI31" i="11"/>
  <c r="AI32" i="11"/>
  <c r="AI16" i="11"/>
  <c r="AI27" i="11"/>
  <c r="AI12" i="11"/>
  <c r="AI28" i="11"/>
  <c r="AI21" i="11"/>
  <c r="AI13" i="11"/>
  <c r="AI29" i="11"/>
  <c r="AI26" i="11"/>
  <c r="AJ19" i="11" l="1"/>
  <c r="AJ18" i="11"/>
  <c r="AJ28" i="11"/>
  <c r="AJ7" i="11"/>
  <c r="AJ26" i="11"/>
  <c r="AJ10" i="11"/>
  <c r="AJ16" i="11"/>
  <c r="AJ31" i="11"/>
  <c r="AK5" i="11"/>
  <c r="AJ17" i="11"/>
  <c r="AJ22" i="11"/>
  <c r="AJ13" i="11"/>
  <c r="AJ20" i="11"/>
  <c r="AJ27" i="11"/>
  <c r="AJ4" i="11"/>
  <c r="AJ21" i="11"/>
  <c r="AJ14" i="11"/>
  <c r="AJ11" i="11"/>
  <c r="AJ12" i="11"/>
  <c r="AJ15" i="11"/>
  <c r="AJ32" i="11"/>
  <c r="AJ6" i="11"/>
  <c r="AJ9" i="11"/>
  <c r="AJ30" i="11"/>
  <c r="AJ24" i="11"/>
  <c r="AJ25" i="11"/>
  <c r="AJ29" i="11"/>
  <c r="AJ23" i="11"/>
  <c r="AK19" i="11" l="1"/>
  <c r="AK18" i="11"/>
  <c r="AK27" i="11"/>
  <c r="AK23" i="11"/>
  <c r="AK20" i="11"/>
  <c r="AK28" i="11"/>
  <c r="AK29" i="11"/>
  <c r="AK21" i="11"/>
  <c r="AK16" i="11"/>
  <c r="AK32" i="11"/>
  <c r="AK12" i="11"/>
  <c r="AK15" i="11"/>
  <c r="AK11" i="11"/>
  <c r="AK9" i="11"/>
  <c r="AL5" i="11"/>
  <c r="AK17" i="11"/>
  <c r="AK13" i="11"/>
  <c r="AK31" i="11"/>
  <c r="AK14" i="11"/>
  <c r="AK22" i="11"/>
  <c r="AK25" i="11"/>
  <c r="AK30" i="11"/>
  <c r="AK7" i="11"/>
  <c r="AK26" i="11"/>
  <c r="AK24" i="11"/>
  <c r="AK10" i="11"/>
  <c r="AL19" i="11" l="1"/>
  <c r="AL18" i="11"/>
  <c r="AL24" i="11"/>
  <c r="AL32" i="11"/>
  <c r="AL10" i="11"/>
  <c r="AL17" i="11"/>
  <c r="AL13" i="11"/>
  <c r="AL31" i="11"/>
  <c r="AL14" i="11"/>
  <c r="AL26" i="11"/>
  <c r="AL25" i="11"/>
  <c r="AL29" i="11"/>
  <c r="AL11" i="11"/>
  <c r="AL12" i="11"/>
  <c r="AL15" i="11"/>
  <c r="AL20" i="11"/>
  <c r="AL27" i="11"/>
  <c r="AL30" i="11"/>
  <c r="AL16" i="11"/>
  <c r="AL9" i="11"/>
  <c r="AL23" i="11"/>
  <c r="AL22" i="11"/>
  <c r="AL7" i="11"/>
  <c r="AM5" i="11"/>
  <c r="AL28" i="11"/>
  <c r="AL21" i="11"/>
  <c r="AM19" i="11" l="1"/>
  <c r="AM18" i="11"/>
  <c r="AM7" i="11"/>
  <c r="AN5" i="11"/>
  <c r="AM25" i="11"/>
  <c r="AM26" i="11"/>
  <c r="AM30" i="11"/>
  <c r="AM9" i="11"/>
  <c r="AM12" i="11"/>
  <c r="AM10" i="11"/>
  <c r="AM11" i="11"/>
  <c r="AM23" i="11"/>
  <c r="AM13" i="11"/>
  <c r="AM17" i="11"/>
  <c r="AM14" i="11"/>
  <c r="AM24" i="11"/>
  <c r="AM21" i="11"/>
  <c r="AM20" i="11"/>
  <c r="AM28" i="11"/>
  <c r="AM27" i="11"/>
  <c r="AM29" i="11"/>
  <c r="AM16" i="11"/>
  <c r="AM32" i="11"/>
  <c r="AM15" i="11"/>
  <c r="AM31" i="11"/>
  <c r="AM22" i="11"/>
  <c r="AN19" i="11" l="1"/>
  <c r="AN18" i="11"/>
  <c r="AN10" i="11"/>
  <c r="AN11" i="11"/>
  <c r="AN24" i="11"/>
  <c r="AN31" i="11"/>
  <c r="AN26" i="11"/>
  <c r="AN14" i="11"/>
  <c r="AO5" i="11"/>
  <c r="AN20" i="11"/>
  <c r="AN15" i="11"/>
  <c r="AN12" i="11"/>
  <c r="AN22" i="11"/>
  <c r="AN32" i="11"/>
  <c r="AN27" i="11"/>
  <c r="AN13" i="11"/>
  <c r="AN23" i="11"/>
  <c r="AN30" i="11"/>
  <c r="AN17" i="11"/>
  <c r="AN29" i="11"/>
  <c r="AN25" i="11"/>
  <c r="AN28" i="11"/>
  <c r="AN21" i="11"/>
  <c r="AN7" i="11"/>
  <c r="AN9" i="11"/>
  <c r="AN16" i="11"/>
  <c r="AO19" i="11" l="1"/>
  <c r="AO18" i="11"/>
  <c r="AO15" i="11"/>
  <c r="AO7" i="11"/>
  <c r="AO16" i="11"/>
  <c r="AO24" i="11"/>
  <c r="AO23" i="11"/>
  <c r="AO11" i="11"/>
  <c r="AO12" i="11"/>
  <c r="AO20" i="11"/>
  <c r="AO29" i="11"/>
  <c r="AO26" i="11"/>
  <c r="AO25" i="11"/>
  <c r="AO17" i="11"/>
  <c r="AO21" i="11"/>
  <c r="AO32" i="11"/>
  <c r="AO31" i="11"/>
  <c r="AO10" i="11"/>
  <c r="AO28" i="11"/>
  <c r="AP5" i="11"/>
  <c r="AO27" i="11"/>
  <c r="AO9" i="11"/>
  <c r="AO13" i="11"/>
  <c r="AO14" i="11"/>
  <c r="AO30" i="11"/>
  <c r="AO22" i="11"/>
  <c r="AP19" i="11" l="1"/>
  <c r="AP18" i="11"/>
  <c r="AP29" i="11"/>
  <c r="AP11" i="11"/>
  <c r="AP16" i="11"/>
  <c r="AP31" i="11"/>
  <c r="AP26" i="11"/>
  <c r="AP24" i="11"/>
  <c r="AP7" i="11"/>
  <c r="AP30" i="11"/>
  <c r="AP27" i="11"/>
  <c r="AP14" i="11"/>
  <c r="AP15" i="11"/>
  <c r="AP17" i="11"/>
  <c r="AP32" i="11"/>
  <c r="AP22" i="11"/>
  <c r="AP13" i="11"/>
  <c r="AP10" i="11"/>
  <c r="AP25" i="11"/>
  <c r="AP21" i="11"/>
  <c r="AQ5" i="11"/>
  <c r="AP28" i="11"/>
  <c r="AP9" i="11"/>
  <c r="AP20" i="11"/>
  <c r="AP23" i="11"/>
  <c r="AP12" i="11"/>
  <c r="AQ19" i="11" l="1"/>
  <c r="AQ18" i="11"/>
  <c r="AQ30" i="11"/>
  <c r="AR5" i="11"/>
  <c r="AQ11" i="11"/>
  <c r="AQ21" i="11"/>
  <c r="AQ16" i="11"/>
  <c r="AQ10" i="11"/>
  <c r="AQ25" i="11"/>
  <c r="AQ28" i="11"/>
  <c r="AQ15" i="11"/>
  <c r="AQ22" i="11"/>
  <c r="AQ32" i="11"/>
  <c r="AQ6" i="11"/>
  <c r="AQ9" i="11"/>
  <c r="AQ23" i="11"/>
  <c r="AQ26" i="11"/>
  <c r="AQ7" i="11"/>
  <c r="AQ14" i="11"/>
  <c r="AQ4" i="11"/>
  <c r="AQ24" i="11"/>
  <c r="AQ17" i="11"/>
  <c r="AQ12" i="11"/>
  <c r="AQ27" i="11"/>
  <c r="AQ31" i="11"/>
  <c r="AQ29" i="11"/>
  <c r="AQ13" i="11"/>
  <c r="AQ20" i="11"/>
  <c r="AR19" i="11" l="1"/>
  <c r="AR18" i="11"/>
  <c r="AR30" i="11"/>
  <c r="AR13" i="11"/>
  <c r="AR28" i="11"/>
  <c r="AR12" i="11"/>
  <c r="AR9" i="11"/>
  <c r="AR24" i="11"/>
  <c r="AR31" i="11"/>
  <c r="AR20" i="11"/>
  <c r="AR29" i="11"/>
  <c r="AR7" i="11"/>
  <c r="AR23" i="11"/>
  <c r="AR27" i="11"/>
  <c r="AR15" i="11"/>
  <c r="AS5" i="11"/>
  <c r="AR26" i="11"/>
  <c r="AR10" i="11"/>
  <c r="AR25" i="11"/>
  <c r="AR14" i="11"/>
  <c r="AR32" i="11"/>
  <c r="AR22" i="11"/>
  <c r="AR21" i="11"/>
  <c r="AR17" i="11"/>
  <c r="AR11" i="11"/>
  <c r="AR16" i="11"/>
  <c r="AS19" i="11" l="1"/>
  <c r="AS18" i="11"/>
  <c r="AS9" i="11"/>
  <c r="AS22" i="11"/>
  <c r="AS32" i="11"/>
  <c r="AS17" i="11"/>
  <c r="AS31" i="11"/>
  <c r="AS30" i="11"/>
  <c r="AS12" i="11"/>
  <c r="AS27" i="11"/>
  <c r="AS25" i="11"/>
  <c r="AS23" i="11"/>
  <c r="AS21" i="11"/>
  <c r="AS16" i="11"/>
  <c r="AS10" i="11"/>
  <c r="AS26" i="11"/>
  <c r="AS20" i="11"/>
  <c r="AS14" i="11"/>
  <c r="AT5" i="11"/>
  <c r="AS29" i="11"/>
  <c r="AS11" i="11"/>
  <c r="AS28" i="11"/>
  <c r="AS13" i="11"/>
  <c r="AS7" i="11"/>
  <c r="AS15" i="11"/>
  <c r="AS24" i="11"/>
  <c r="AT19" i="11" l="1"/>
  <c r="AT18" i="11"/>
  <c r="AT7" i="11"/>
  <c r="AU5" i="11"/>
  <c r="AT28" i="11"/>
  <c r="AT21" i="11"/>
  <c r="AT15" i="11"/>
  <c r="AT32" i="11"/>
  <c r="AT14" i="11"/>
  <c r="AT9" i="11"/>
  <c r="AT10" i="11"/>
  <c r="AT11" i="11"/>
  <c r="AT30" i="11"/>
  <c r="AT31" i="11"/>
  <c r="AT27" i="11"/>
  <c r="AT25" i="11"/>
  <c r="AT12" i="11"/>
  <c r="AT13" i="11"/>
  <c r="AT16" i="11"/>
  <c r="AT24" i="11"/>
  <c r="AT23" i="11"/>
  <c r="AT20" i="11"/>
  <c r="AT29" i="11"/>
  <c r="AT22" i="11"/>
  <c r="AT26" i="11"/>
  <c r="AT17" i="11"/>
  <c r="AU19" i="11" l="1"/>
  <c r="AU18" i="11"/>
  <c r="AU16" i="11"/>
  <c r="AU17" i="11"/>
  <c r="AU31" i="11"/>
  <c r="AU23" i="11"/>
  <c r="AV5" i="11"/>
  <c r="AU29" i="11"/>
  <c r="AU15" i="11"/>
  <c r="AU22" i="11"/>
  <c r="AU26" i="11"/>
  <c r="AU9" i="11"/>
  <c r="AU32" i="11"/>
  <c r="AU14" i="11"/>
  <c r="AU25" i="11"/>
  <c r="AU28" i="11"/>
  <c r="AU11" i="11"/>
  <c r="AU21" i="11"/>
  <c r="AU20" i="11"/>
  <c r="AU10" i="11"/>
  <c r="AU30" i="11"/>
  <c r="AU7" i="11"/>
  <c r="AU13" i="11"/>
  <c r="AU12" i="11"/>
  <c r="AU27" i="11"/>
  <c r="AU24" i="11"/>
  <c r="AV19" i="11" l="1"/>
  <c r="AV18" i="11"/>
  <c r="AV11" i="11"/>
  <c r="AV15" i="11"/>
  <c r="AV12" i="11"/>
  <c r="AV25" i="11"/>
  <c r="AV28" i="11"/>
  <c r="AV9" i="11"/>
  <c r="AV32" i="11"/>
  <c r="AV14" i="11"/>
  <c r="AV23" i="11"/>
  <c r="AV31" i="11"/>
  <c r="AW5" i="11"/>
  <c r="AV29" i="11"/>
  <c r="AV7" i="11"/>
  <c r="AV21" i="11"/>
  <c r="AV24" i="11"/>
  <c r="AV27" i="11"/>
  <c r="AV10" i="11"/>
  <c r="AV26" i="11"/>
  <c r="AV16" i="11"/>
  <c r="AV17" i="11"/>
  <c r="AV20" i="11"/>
  <c r="AV30" i="11"/>
  <c r="AV13" i="11"/>
  <c r="AV22" i="11"/>
  <c r="AW19" i="11" l="1"/>
  <c r="AW18" i="11"/>
  <c r="AW13" i="11"/>
  <c r="AW21" i="11"/>
  <c r="AW22" i="11"/>
  <c r="AW30" i="11"/>
  <c r="AW27" i="11"/>
  <c r="AW9" i="11"/>
  <c r="AW16" i="11"/>
  <c r="AW29" i="11"/>
  <c r="AW17" i="11"/>
  <c r="AW15" i="11"/>
  <c r="AW7" i="11"/>
  <c r="AW11" i="11"/>
  <c r="AW28" i="11"/>
  <c r="AW23" i="11"/>
  <c r="AW14" i="11"/>
  <c r="AW25" i="11"/>
  <c r="AW26" i="11"/>
  <c r="AW20" i="11"/>
  <c r="AW31" i="11"/>
  <c r="AX5" i="11"/>
  <c r="AW10" i="11"/>
  <c r="AW12" i="11"/>
  <c r="AW32" i="11"/>
  <c r="AW24" i="11"/>
  <c r="AX19" i="11" l="1"/>
  <c r="AX18" i="11"/>
  <c r="AX10" i="11"/>
  <c r="AX28" i="11"/>
  <c r="AX12" i="11"/>
  <c r="AX7" i="11"/>
  <c r="AX29" i="11"/>
  <c r="AX23" i="11"/>
  <c r="AX6" i="11"/>
  <c r="AX22" i="11"/>
  <c r="AX32" i="11"/>
  <c r="AX30" i="11"/>
  <c r="AX25" i="11"/>
  <c r="AX13" i="11"/>
  <c r="AX26" i="11"/>
  <c r="AY5" i="11"/>
  <c r="AX24" i="11"/>
  <c r="AX14" i="11"/>
  <c r="AX21" i="11"/>
  <c r="AX27" i="11"/>
  <c r="AX11" i="11"/>
  <c r="AX15" i="11"/>
  <c r="AX17" i="11"/>
  <c r="AX9" i="11"/>
  <c r="AX4" i="11"/>
  <c r="AX20" i="11"/>
  <c r="AX16" i="11"/>
  <c r="AX31" i="11"/>
  <c r="AY19" i="11" l="1"/>
  <c r="AY18" i="11"/>
  <c r="AZ5" i="11"/>
  <c r="AY28" i="11"/>
  <c r="AY26" i="11"/>
  <c r="AY30" i="11"/>
  <c r="AY24" i="11"/>
  <c r="AY13" i="11"/>
  <c r="AY11" i="11"/>
  <c r="AY10" i="11"/>
  <c r="AY23" i="11"/>
  <c r="AY21" i="11"/>
  <c r="AY27" i="11"/>
  <c r="AY25" i="11"/>
  <c r="AY17" i="11"/>
  <c r="AY29" i="11"/>
  <c r="AY16" i="11"/>
  <c r="AY32" i="11"/>
  <c r="AY7" i="11"/>
  <c r="AY9" i="11"/>
  <c r="AY31" i="11"/>
  <c r="AY20" i="11"/>
  <c r="AY22" i="11"/>
  <c r="AY15" i="11"/>
  <c r="AY14" i="11"/>
  <c r="AY12" i="11"/>
  <c r="AZ19" i="11" l="1"/>
  <c r="AZ18" i="11"/>
  <c r="AZ26" i="11"/>
  <c r="AZ17" i="11"/>
  <c r="AZ27" i="11"/>
  <c r="AZ24" i="11"/>
  <c r="AZ25" i="11"/>
  <c r="AZ31" i="11"/>
  <c r="BA5" i="11"/>
  <c r="AZ28" i="11"/>
  <c r="AZ9" i="11"/>
  <c r="AZ22" i="11"/>
  <c r="AZ14" i="11"/>
  <c r="AZ29" i="11"/>
  <c r="AZ20" i="11"/>
  <c r="AZ15" i="11"/>
  <c r="AZ23" i="11"/>
  <c r="AZ7" i="11"/>
  <c r="AZ21" i="11"/>
  <c r="AZ11" i="11"/>
  <c r="AZ12" i="11"/>
  <c r="AZ30" i="11"/>
  <c r="AZ10" i="11"/>
  <c r="AZ16" i="11"/>
  <c r="AZ32" i="11"/>
  <c r="AZ13" i="11"/>
  <c r="BA19" i="11" l="1"/>
  <c r="BA18" i="11"/>
  <c r="BA7" i="11"/>
  <c r="BA17" i="11"/>
  <c r="BA29" i="11"/>
  <c r="BA10" i="11"/>
  <c r="BA21" i="11"/>
  <c r="BA14" i="11"/>
  <c r="BA22" i="11"/>
  <c r="BA24" i="11"/>
  <c r="BA11" i="11"/>
  <c r="BA20" i="11"/>
  <c r="BA12" i="11"/>
  <c r="BB5" i="11"/>
  <c r="BA25" i="11"/>
  <c r="BA13" i="11"/>
  <c r="BA23" i="11"/>
  <c r="BA26" i="11"/>
  <c r="BA32" i="11"/>
  <c r="BA27" i="11"/>
  <c r="BA16" i="11"/>
  <c r="BA28" i="11"/>
  <c r="BA30" i="11"/>
  <c r="BA15" i="11"/>
  <c r="BA31" i="11"/>
  <c r="BA9" i="11"/>
  <c r="BB19" i="11" l="1"/>
  <c r="BB18" i="11"/>
  <c r="BB26" i="11"/>
  <c r="BB28" i="11"/>
  <c r="BB14" i="11"/>
  <c r="BB9" i="11"/>
  <c r="BB25" i="11"/>
  <c r="BB29" i="11"/>
  <c r="BB10" i="11"/>
  <c r="BB12" i="11"/>
  <c r="BB17" i="11"/>
  <c r="BB11" i="11"/>
  <c r="BB16" i="11"/>
  <c r="BB20" i="11"/>
  <c r="BB31" i="11"/>
  <c r="BB22" i="11"/>
  <c r="BB13" i="11"/>
  <c r="BB30" i="11"/>
  <c r="BB27" i="11"/>
  <c r="BB32" i="11"/>
  <c r="BB24" i="11"/>
  <c r="BB15" i="11"/>
  <c r="BB21" i="11"/>
  <c r="BB7" i="11"/>
  <c r="BC5" i="11"/>
  <c r="BB23" i="11"/>
  <c r="BC19" i="11" l="1"/>
  <c r="BC18" i="11"/>
  <c r="BD5" i="11"/>
  <c r="BC11" i="11"/>
  <c r="BC13" i="11"/>
  <c r="BC31" i="11"/>
  <c r="BC17" i="11"/>
  <c r="BC24" i="11"/>
  <c r="BC25" i="11"/>
  <c r="BC9" i="11"/>
  <c r="BC21" i="11"/>
  <c r="BC32" i="11"/>
  <c r="BC20" i="11"/>
  <c r="BC23" i="11"/>
  <c r="BC27" i="11"/>
  <c r="BC26" i="11"/>
  <c r="BC15" i="11"/>
  <c r="BC30" i="11"/>
  <c r="BC14" i="11"/>
  <c r="BC22" i="11"/>
  <c r="BC7" i="11"/>
  <c r="BC29" i="11"/>
  <c r="BC16" i="11"/>
  <c r="BC10" i="11"/>
  <c r="BC28" i="11"/>
  <c r="BC12" i="11"/>
  <c r="BD19" i="11" l="1"/>
  <c r="BD18" i="11"/>
  <c r="BD24" i="11"/>
  <c r="BD25" i="11"/>
  <c r="BD9" i="11"/>
  <c r="BD7" i="11"/>
  <c r="BE5" i="11"/>
  <c r="BD28" i="11"/>
  <c r="BD15" i="11"/>
  <c r="BD22" i="11"/>
  <c r="BD13" i="11"/>
  <c r="BD27" i="11"/>
  <c r="BD14" i="11"/>
  <c r="BD26" i="11"/>
  <c r="BD31" i="11"/>
  <c r="BD32" i="11"/>
  <c r="BD10" i="11"/>
  <c r="BD20" i="11"/>
  <c r="BD17" i="11"/>
  <c r="BD21" i="11"/>
  <c r="BD30" i="11"/>
  <c r="BD23" i="11"/>
  <c r="BD29" i="11"/>
  <c r="BD12" i="11"/>
  <c r="BD11" i="11"/>
  <c r="BD16" i="11"/>
  <c r="BE19" i="11" l="1"/>
  <c r="BE18" i="11"/>
  <c r="BF5" i="11"/>
  <c r="BE9" i="11"/>
  <c r="BE28" i="11"/>
  <c r="BE13" i="11"/>
  <c r="BE32" i="11"/>
  <c r="BE25" i="11"/>
  <c r="BE20" i="11"/>
  <c r="BE30" i="11"/>
  <c r="BE4" i="11"/>
  <c r="BE22" i="11"/>
  <c r="BE24" i="11"/>
  <c r="BE21" i="11"/>
  <c r="BE15" i="11"/>
  <c r="BE31" i="11"/>
  <c r="BE26" i="11"/>
  <c r="BE29" i="11"/>
  <c r="BE23" i="11"/>
  <c r="BE10" i="11"/>
  <c r="BE14" i="11"/>
  <c r="BE6" i="11"/>
  <c r="BE12" i="11"/>
  <c r="BE27" i="11"/>
  <c r="BE7" i="11"/>
  <c r="BE17" i="11"/>
  <c r="BE11" i="11"/>
  <c r="BE16" i="11"/>
  <c r="BF19" i="11" l="1"/>
  <c r="BF18" i="11"/>
  <c r="BF17" i="11"/>
  <c r="BF26" i="11"/>
  <c r="BF23" i="11"/>
  <c r="BF12" i="11"/>
  <c r="BF29" i="11"/>
  <c r="BF20" i="11"/>
  <c r="BG5" i="11"/>
  <c r="BF28" i="11"/>
  <c r="BF24" i="11"/>
  <c r="BF27" i="11"/>
  <c r="BF9" i="11"/>
  <c r="BF31" i="11"/>
  <c r="BF30" i="11"/>
  <c r="BF21" i="11"/>
  <c r="BF16" i="11"/>
  <c r="BF32" i="11"/>
  <c r="BF7" i="11"/>
  <c r="BF10" i="11"/>
  <c r="BF22" i="11"/>
  <c r="BF11" i="11"/>
  <c r="BF13" i="11"/>
  <c r="BF25" i="11"/>
  <c r="BF14" i="11"/>
  <c r="BF15" i="11"/>
  <c r="BG19" i="11" l="1"/>
  <c r="BG18" i="11"/>
  <c r="BG31" i="11"/>
  <c r="BG30" i="11"/>
  <c r="BG29" i="11"/>
  <c r="BG7" i="11"/>
  <c r="BG15" i="11"/>
  <c r="BG13" i="11"/>
  <c r="BG12" i="11"/>
  <c r="BG23" i="11"/>
  <c r="BG16" i="11"/>
  <c r="BG32" i="11"/>
  <c r="BG24" i="11"/>
  <c r="BG22" i="11"/>
  <c r="BG11" i="11"/>
  <c r="BH5" i="11"/>
  <c r="BG27" i="11"/>
  <c r="BG10" i="11"/>
  <c r="BG14" i="11"/>
  <c r="BG9" i="11"/>
  <c r="BG26" i="11"/>
  <c r="BG17" i="11"/>
  <c r="BG28" i="11"/>
  <c r="BG25" i="11"/>
  <c r="BG20" i="11"/>
  <c r="BG21" i="11"/>
  <c r="BH19" i="11" l="1"/>
  <c r="BH18" i="11"/>
  <c r="BH7" i="11"/>
  <c r="BH29" i="11"/>
  <c r="BH31" i="11"/>
  <c r="BH14" i="11"/>
  <c r="BH26" i="11"/>
  <c r="BH30" i="11"/>
  <c r="BH28" i="11"/>
  <c r="BH12" i="11"/>
  <c r="BH27" i="11"/>
  <c r="BH24" i="11"/>
  <c r="BH23" i="11"/>
  <c r="BH21" i="11"/>
  <c r="BH10" i="11"/>
  <c r="BH13" i="11"/>
  <c r="BH15" i="11"/>
  <c r="BH16" i="11"/>
  <c r="BH25" i="11"/>
  <c r="BH9" i="11"/>
  <c r="BH17" i="11"/>
  <c r="BH20" i="11"/>
  <c r="BH11" i="11"/>
  <c r="BI5" i="11"/>
  <c r="BH32" i="11"/>
  <c r="BH22" i="11"/>
  <c r="BI19" i="11" l="1"/>
  <c r="BI18" i="11"/>
  <c r="BJ5" i="11"/>
  <c r="BI10" i="11"/>
  <c r="BI16" i="11"/>
  <c r="BI13" i="11"/>
  <c r="BI28" i="11"/>
  <c r="BI26" i="11"/>
  <c r="BI31" i="11"/>
  <c r="BI21" i="11"/>
  <c r="BI24" i="11"/>
  <c r="BI14" i="11"/>
  <c r="BI22" i="11"/>
  <c r="BI12" i="11"/>
  <c r="BI7" i="11"/>
  <c r="BI27" i="11"/>
  <c r="BI11" i="11"/>
  <c r="BI30" i="11"/>
  <c r="BI20" i="11"/>
  <c r="BI9" i="11"/>
  <c r="BI29" i="11"/>
  <c r="BI32" i="11"/>
  <c r="BI15" i="11"/>
  <c r="BI25" i="11"/>
  <c r="BI23" i="11"/>
  <c r="BI17" i="11"/>
  <c r="BJ19" i="11" l="1"/>
  <c r="BJ18" i="11"/>
  <c r="BJ24" i="11"/>
  <c r="BJ7" i="11"/>
  <c r="BJ22" i="11"/>
  <c r="BJ16" i="11"/>
  <c r="BJ17" i="11"/>
  <c r="BK5" i="11"/>
  <c r="BJ30" i="11"/>
  <c r="BJ12" i="11"/>
  <c r="BJ11" i="11"/>
  <c r="BJ20" i="11"/>
  <c r="BJ28" i="11"/>
  <c r="BJ13" i="11"/>
  <c r="BJ25" i="11"/>
  <c r="BJ23" i="11"/>
  <c r="BJ14" i="11"/>
  <c r="BJ15" i="11"/>
  <c r="BJ29" i="11"/>
  <c r="BJ27" i="11"/>
  <c r="BJ31" i="11"/>
  <c r="BJ9" i="11"/>
  <c r="BJ32" i="11"/>
  <c r="BJ26" i="11"/>
  <c r="BJ21" i="11"/>
  <c r="BJ10" i="11"/>
  <c r="BK19" i="11" l="1"/>
  <c r="BK18" i="11"/>
  <c r="BK13" i="11"/>
  <c r="BK21" i="11"/>
  <c r="BK30" i="11"/>
  <c r="BK20" i="11"/>
  <c r="BK7" i="11"/>
  <c r="BK10" i="11"/>
  <c r="BK25" i="11"/>
  <c r="BK17" i="11"/>
  <c r="BK9" i="11"/>
  <c r="BK32" i="11"/>
  <c r="BK15" i="11"/>
  <c r="BK11" i="11"/>
  <c r="BK23" i="11"/>
  <c r="BK27" i="11"/>
  <c r="BK12" i="11"/>
  <c r="BK16" i="11"/>
  <c r="BK22" i="11"/>
  <c r="BK14" i="11"/>
  <c r="BK31" i="11"/>
  <c r="BK29" i="11"/>
  <c r="BK28" i="11"/>
  <c r="BK24" i="11"/>
  <c r="BK26" i="11"/>
</calcChain>
</file>

<file path=xl/sharedStrings.xml><?xml version="1.0" encoding="utf-8"?>
<sst xmlns="http://schemas.openxmlformats.org/spreadsheetml/2006/main" count="63" uniqueCount="44">
  <si>
    <t>Legend:</t>
  </si>
  <si>
    <t>Team members :</t>
  </si>
  <si>
    <t>On Track</t>
  </si>
  <si>
    <t>Low Risk</t>
  </si>
  <si>
    <t>Med Risk</t>
  </si>
  <si>
    <t>High Risk</t>
  </si>
  <si>
    <t>Unassigned</t>
  </si>
  <si>
    <t>Project Start Date:</t>
  </si>
  <si>
    <t>Display Week:</t>
  </si>
  <si>
    <t>Milestone Description</t>
  </si>
  <si>
    <t>Category</t>
  </si>
  <si>
    <t>Assigned To</t>
  </si>
  <si>
    <t>Progress</t>
  </si>
  <si>
    <t>Start</t>
  </si>
  <si>
    <t>No. Days</t>
  </si>
  <si>
    <t>Task 1</t>
  </si>
  <si>
    <t>Milestone</t>
  </si>
  <si>
    <t>Task 2</t>
  </si>
  <si>
    <t>Task 3</t>
  </si>
  <si>
    <t>Task 4</t>
  </si>
  <si>
    <t>Task 5</t>
  </si>
  <si>
    <t>Goal</t>
  </si>
  <si>
    <t>Title 4</t>
  </si>
  <si>
    <t>To add more data, Insert new rows ABOVE this one</t>
  </si>
  <si>
    <t>About This Template</t>
  </si>
  <si>
    <t xml:space="preserve">This template provides a simple way to create a Gantt chart to help visualize and track your project. Simply enter your tasks description, select a category of Goal, Milestone, On Track, Low Risk, Med Risk, High Risk, Progress as a percent of task completion, a Start Date and Number of days to complete the task. The Gantt chart fills in and is color coded to help distinguish the various categories. Change the display week number to change the timeline view. Insert new tasks by inserting new rows.
</t>
  </si>
  <si>
    <t>Guide for Screen Readers</t>
  </si>
  <si>
    <t>There are 2 worksheets in this workbook. 
Gantt Chart
About
The instructions for each worksheet are in the A column starting in cell A1 of each worksheet. They are written with input messages. Each step guides you through the information in that row. Each subsequent step continues in cell A2, A3, and so on, unless otherwise explicitly directed. For example, instruction text might say "continue to cell A6" for the next step. 
To remove these instructions from the worksheet, go to Data &gt; Data Tools &gt; Data Validation &gt; Input Message and delete them.</t>
  </si>
  <si>
    <t>This is the last instruction in this worksheet.</t>
  </si>
  <si>
    <t>Status Report 1</t>
  </si>
  <si>
    <t>Company Approval</t>
  </si>
  <si>
    <t>Company Profile</t>
  </si>
  <si>
    <t>TEAM NAME: THE OVER SLEEPERS</t>
  </si>
  <si>
    <t>QUINTO,RANNIEL LUIZ Z.</t>
  </si>
  <si>
    <t>ESGUERRA, DANIEL EDWARD C.</t>
  </si>
  <si>
    <t>PAELMO, ZIIDJIAN C.</t>
  </si>
  <si>
    <t>All Members</t>
  </si>
  <si>
    <t>All members</t>
  </si>
  <si>
    <t>Week 7</t>
  </si>
  <si>
    <t>FIGMA Design 20-30%</t>
  </si>
  <si>
    <t xml:space="preserve">FDD </t>
  </si>
  <si>
    <t xml:space="preserve">Status Report </t>
  </si>
  <si>
    <t>Week 8</t>
  </si>
  <si>
    <t>Week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</si>
</sst>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2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6"/>
      <color theme="1"/>
      <name val="Calibri"/>
      <family val="2"/>
      <scheme val="minor"/>
    </font>
    <font>
      <b/>
      <sz val="20"/>
      <color rgb="FF595959"/>
      <name val="Bahnschrift"/>
      <family val="2"/>
    </font>
    <font>
      <sz val="12"/>
      <color theme="1"/>
      <name val="Calibri"/>
      <family val="2"/>
      <scheme val="minor"/>
    </font>
    <font>
      <b/>
      <sz val="14"/>
      <color theme="0"/>
      <name val="Bahnschrift"/>
      <family val="2"/>
    </font>
    <font>
      <sz val="11"/>
      <color theme="1"/>
      <name val="Bahnschrift"/>
      <family val="2"/>
    </font>
    <font>
      <sz val="12"/>
      <color theme="1"/>
      <name val="Bahnschrift"/>
      <family val="2"/>
    </font>
    <font>
      <b/>
      <sz val="14"/>
      <color theme="1"/>
      <name val="Bahnschrift"/>
      <family val="2"/>
    </font>
    <font>
      <b/>
      <sz val="14"/>
      <name val="Bahnschrift"/>
      <family val="2"/>
    </font>
    <font>
      <b/>
      <sz val="16"/>
      <color theme="1"/>
      <name val="Bahnschrift"/>
      <family val="2"/>
    </font>
    <font>
      <b/>
      <sz val="16"/>
      <name val="Bahnschrift"/>
      <family val="2"/>
    </font>
    <font>
      <sz val="16"/>
      <name val="Calibri"/>
      <family val="2"/>
      <scheme val="minor"/>
    </font>
    <font>
      <b/>
      <sz val="10"/>
      <color theme="0"/>
      <name val="Bahnschrift"/>
      <family val="2"/>
    </font>
    <font>
      <b/>
      <sz val="10"/>
      <name val="Bahnschrift"/>
      <family val="2"/>
    </font>
    <font>
      <b/>
      <sz val="11"/>
      <color theme="1"/>
      <name val="Bahnschrift"/>
      <family val="2"/>
    </font>
  </fonts>
  <fills count="17">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
      <patternFill patternType="solid">
        <fgColor theme="6"/>
      </patternFill>
    </fill>
    <fill>
      <patternFill patternType="solid">
        <fgColor theme="2" tint="-9.9978637043366805E-2"/>
        <bgColor indexed="64"/>
      </patternFill>
    </fill>
    <fill>
      <patternFill patternType="solid">
        <fgColor theme="4"/>
        <bgColor indexed="64"/>
      </patternFill>
    </fill>
    <fill>
      <patternFill patternType="solid">
        <fgColor theme="6"/>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0"/>
        <bgColor indexed="64"/>
      </patternFill>
    </fill>
    <fill>
      <patternFill patternType="solid">
        <fgColor theme="1"/>
        <bgColor indexed="64"/>
      </patternFill>
    </fill>
    <fill>
      <patternFill patternType="solid">
        <fgColor rgb="FFC00000"/>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7" tint="-0.499984740745262"/>
        <bgColor theme="4"/>
      </patternFill>
    </fill>
  </fills>
  <borders count="1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right/>
      <top/>
      <bottom style="medium">
        <color theme="0" tint="-0.149967955565050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3" fillId="0" borderId="0" applyNumberFormat="0" applyFill="0" applyBorder="0" applyAlignment="0" applyProtection="0">
      <alignment vertical="top"/>
      <protection locked="0"/>
    </xf>
    <xf numFmtId="9" fontId="6" fillId="0" borderId="0" applyFont="0" applyFill="0" applyBorder="0" applyProtection="0">
      <alignment horizontal="center" vertical="center"/>
    </xf>
    <xf numFmtId="0" fontId="14" fillId="0" borderId="0"/>
    <xf numFmtId="164" fontId="6" fillId="0" borderId="1" applyFont="0" applyFill="0" applyAlignment="0" applyProtection="0"/>
    <xf numFmtId="0" fontId="8"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vertical="center" indent="1"/>
    </xf>
    <xf numFmtId="14" fontId="6" fillId="0" borderId="0" applyFont="0" applyFill="0" applyBorder="0">
      <alignment horizontal="center" vertical="center"/>
    </xf>
    <xf numFmtId="37" fontId="6" fillId="0" borderId="0" applyFont="0" applyFill="0" applyBorder="0" applyProtection="0">
      <alignment horizontal="center" vertical="center"/>
    </xf>
    <xf numFmtId="0" fontId="14" fillId="4" borderId="0" applyNumberFormat="0" applyBorder="0" applyAlignment="0" applyProtection="0"/>
  </cellStyleXfs>
  <cellXfs count="63">
    <xf numFmtId="0" fontId="0" fillId="0" borderId="0" xfId="0"/>
    <xf numFmtId="0" fontId="1" fillId="0" borderId="0" xfId="0" applyFont="1" applyAlignment="1">
      <alignment horizontal="left"/>
    </xf>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9" fillId="0" borderId="0" xfId="0" applyFont="1"/>
    <xf numFmtId="0" fontId="10" fillId="0" borderId="0" xfId="1" applyFont="1" applyAlignment="1" applyProtection="1"/>
    <xf numFmtId="0" fontId="2" fillId="0" borderId="0" xfId="0" applyFont="1" applyAlignment="1">
      <alignment horizontal="center" vertical="center"/>
    </xf>
    <xf numFmtId="0" fontId="2" fillId="0" borderId="0" xfId="0" applyFont="1"/>
    <xf numFmtId="0" fontId="11" fillId="0" borderId="0" xfId="0" applyFont="1"/>
    <xf numFmtId="0" fontId="2" fillId="0" borderId="0" xfId="0" applyFont="1" applyAlignment="1">
      <alignment vertical="top"/>
    </xf>
    <xf numFmtId="0" fontId="13" fillId="0" borderId="0" xfId="0" applyFont="1" applyAlignment="1">
      <alignment vertical="center"/>
    </xf>
    <xf numFmtId="0" fontId="12" fillId="0" borderId="0" xfId="0" applyFont="1" applyAlignment="1">
      <alignment horizontal="left" vertical="top" wrapText="1" indent="1"/>
    </xf>
    <xf numFmtId="0" fontId="14" fillId="0" borderId="0" xfId="0" applyFont="1" applyAlignment="1">
      <alignment horizontal="center"/>
    </xf>
    <xf numFmtId="0" fontId="8" fillId="0" borderId="0" xfId="5" applyAlignment="1">
      <alignment horizontal="left"/>
    </xf>
    <xf numFmtId="0" fontId="0" fillId="2" borderId="0" xfId="0" applyFill="1"/>
    <xf numFmtId="0" fontId="4" fillId="0" borderId="0" xfId="0" applyFont="1" applyAlignment="1">
      <alignment horizontal="center" vertical="center"/>
    </xf>
    <xf numFmtId="0" fontId="0" fillId="0" borderId="0" xfId="0" applyAlignment="1">
      <alignment horizontal="center" vertical="center" wrapText="1"/>
    </xf>
    <xf numFmtId="9" fontId="0" fillId="0" borderId="0" xfId="2" applyFont="1">
      <alignment horizontal="center" vertical="center"/>
    </xf>
    <xf numFmtId="14" fontId="0" fillId="0" borderId="0" xfId="9" applyFont="1">
      <alignment horizontal="center" vertical="center"/>
    </xf>
    <xf numFmtId="37" fontId="0" fillId="0" borderId="0" xfId="10" applyFont="1">
      <alignment horizontal="center" vertical="center"/>
    </xf>
    <xf numFmtId="0" fontId="0" fillId="0" borderId="0" xfId="0" applyAlignment="1">
      <alignment horizontal="center" vertical="center"/>
    </xf>
    <xf numFmtId="0" fontId="0" fillId="0" borderId="7" xfId="0" applyBorder="1" applyAlignment="1">
      <alignment vertical="center"/>
    </xf>
    <xf numFmtId="0" fontId="0" fillId="2" borderId="8" xfId="0" applyFill="1" applyBorder="1" applyAlignment="1">
      <alignment horizontal="center" vertical="center"/>
    </xf>
    <xf numFmtId="0" fontId="0" fillId="0" borderId="6" xfId="0" applyBorder="1" applyAlignment="1">
      <alignment horizontal="center" vertical="center"/>
    </xf>
    <xf numFmtId="0" fontId="4" fillId="2" borderId="5" xfId="0" applyFont="1" applyFill="1" applyBorder="1" applyAlignment="1">
      <alignment horizontal="center" vertical="center"/>
    </xf>
    <xf numFmtId="0" fontId="0" fillId="0" borderId="0" xfId="0" applyAlignment="1">
      <alignment horizontal="left" wrapText="1" indent="2"/>
    </xf>
    <xf numFmtId="0" fontId="5" fillId="0" borderId="0" xfId="0" applyFont="1" applyAlignment="1">
      <alignment horizontal="left" wrapText="1" indent="1"/>
    </xf>
    <xf numFmtId="0" fontId="0" fillId="2" borderId="0" xfId="0" applyFill="1" applyAlignment="1">
      <alignment horizontal="center"/>
    </xf>
    <xf numFmtId="0" fontId="15" fillId="0" borderId="0" xfId="0" applyFont="1"/>
    <xf numFmtId="0" fontId="16" fillId="10" borderId="0" xfId="0" applyFont="1" applyFill="1"/>
    <xf numFmtId="0" fontId="17" fillId="0" borderId="0" xfId="0" applyFont="1"/>
    <xf numFmtId="0" fontId="17" fillId="0" borderId="0" xfId="0" applyFont="1" applyAlignment="1">
      <alignment horizontal="center" vertical="center"/>
    </xf>
    <xf numFmtId="0" fontId="20" fillId="0" borderId="11" xfId="0" applyFont="1" applyBorder="1" applyAlignment="1">
      <alignment horizontal="center" vertical="center"/>
    </xf>
    <xf numFmtId="0" fontId="21" fillId="0" borderId="0" xfId="7" applyFont="1" applyAlignment="1"/>
    <xf numFmtId="0" fontId="23" fillId="0" borderId="0" xfId="0" applyFont="1"/>
    <xf numFmtId="0" fontId="24" fillId="12" borderId="0" xfId="0" applyFont="1" applyFill="1"/>
    <xf numFmtId="0" fontId="25" fillId="12" borderId="0" xfId="0" applyFont="1" applyFill="1"/>
    <xf numFmtId="165" fontId="26" fillId="3" borderId="2" xfId="0" applyNumberFormat="1" applyFont="1" applyFill="1" applyBorder="1" applyAlignment="1">
      <alignment horizontal="center" vertical="center"/>
    </xf>
    <xf numFmtId="165" fontId="26" fillId="3" borderId="0" xfId="0" applyNumberFormat="1" applyFont="1" applyFill="1" applyAlignment="1">
      <alignment horizontal="center" vertical="center"/>
    </xf>
    <xf numFmtId="165" fontId="26" fillId="3" borderId="3" xfId="0" applyNumberFormat="1" applyFont="1" applyFill="1" applyBorder="1" applyAlignment="1">
      <alignment horizontal="center" vertical="center"/>
    </xf>
    <xf numFmtId="0" fontId="26" fillId="11" borderId="4" xfId="0" applyFont="1" applyFill="1" applyBorder="1" applyAlignment="1">
      <alignment horizontal="center" vertical="center" shrinkToFit="1"/>
    </xf>
    <xf numFmtId="165" fontId="26" fillId="13" borderId="2" xfId="0" applyNumberFormat="1" applyFont="1" applyFill="1" applyBorder="1" applyAlignment="1">
      <alignment horizontal="left" vertical="center"/>
    </xf>
    <xf numFmtId="165" fontId="27" fillId="13" borderId="0" xfId="0" applyNumberFormat="1" applyFont="1" applyFill="1" applyAlignment="1">
      <alignment horizontal="center" vertical="center"/>
    </xf>
    <xf numFmtId="165" fontId="27" fillId="13" borderId="3" xfId="0" applyNumberFormat="1" applyFont="1" applyFill="1" applyBorder="1" applyAlignment="1">
      <alignment horizontal="center" vertical="center"/>
    </xf>
    <xf numFmtId="165" fontId="26" fillId="9" borderId="2" xfId="0" applyNumberFormat="1" applyFont="1" applyFill="1" applyBorder="1" applyAlignment="1">
      <alignment horizontal="left" vertical="center"/>
    </xf>
    <xf numFmtId="165" fontId="27" fillId="9" borderId="0" xfId="0" applyNumberFormat="1" applyFont="1" applyFill="1" applyAlignment="1">
      <alignment horizontal="center" vertical="center"/>
    </xf>
    <xf numFmtId="165" fontId="27" fillId="9" borderId="3" xfId="0" applyNumberFormat="1" applyFont="1" applyFill="1" applyBorder="1" applyAlignment="1">
      <alignment horizontal="center" vertical="center"/>
    </xf>
    <xf numFmtId="165" fontId="26" fillId="14" borderId="2" xfId="0" applyNumberFormat="1" applyFont="1" applyFill="1" applyBorder="1" applyAlignment="1">
      <alignment horizontal="left" vertical="center"/>
    </xf>
    <xf numFmtId="165" fontId="27" fillId="14" borderId="0" xfId="0" applyNumberFormat="1" applyFont="1" applyFill="1" applyAlignment="1">
      <alignment horizontal="center" vertical="center"/>
    </xf>
    <xf numFmtId="165" fontId="27" fillId="14" borderId="3" xfId="0" applyNumberFormat="1" applyFont="1" applyFill="1" applyBorder="1" applyAlignment="1">
      <alignment horizontal="center" vertical="center"/>
    </xf>
    <xf numFmtId="0" fontId="28" fillId="15" borderId="10" xfId="0" applyFont="1" applyFill="1" applyBorder="1" applyAlignment="1">
      <alignment horizontal="left" vertical="center" indent="1"/>
    </xf>
    <xf numFmtId="0" fontId="28" fillId="15" borderId="10" xfId="0" applyFont="1" applyFill="1" applyBorder="1" applyAlignment="1">
      <alignment horizontal="center" vertical="center" wrapText="1"/>
    </xf>
    <xf numFmtId="0" fontId="26" fillId="16" borderId="9" xfId="0" applyFont="1" applyFill="1" applyBorder="1" applyAlignment="1">
      <alignment horizontal="center" vertical="center" wrapText="1"/>
    </xf>
    <xf numFmtId="0" fontId="19" fillId="0" borderId="11" xfId="0" applyFont="1" applyBorder="1" applyAlignment="1">
      <alignment horizontal="center" vertical="center"/>
    </xf>
    <xf numFmtId="0" fontId="18" fillId="11" borderId="11" xfId="6" applyFont="1" applyFill="1" applyBorder="1" applyAlignment="1">
      <alignment horizontal="center" vertical="center"/>
    </xf>
    <xf numFmtId="0" fontId="22" fillId="5" borderId="0" xfId="0" applyFont="1" applyFill="1" applyAlignment="1">
      <alignment horizontal="center" vertical="center"/>
    </xf>
    <xf numFmtId="0" fontId="18" fillId="8" borderId="0" xfId="0" applyFont="1" applyFill="1" applyAlignment="1">
      <alignment horizontal="center" vertical="center"/>
    </xf>
    <xf numFmtId="0" fontId="20" fillId="0" borderId="0" xfId="8" applyFont="1">
      <alignment horizontal="right" vertical="center" indent="1"/>
    </xf>
    <xf numFmtId="14" fontId="20" fillId="0" borderId="11" xfId="9" applyFont="1" applyBorder="1">
      <alignment horizontal="center" vertical="center"/>
    </xf>
    <xf numFmtId="0" fontId="18" fillId="6" borderId="0" xfId="11" applyFont="1" applyFill="1" applyAlignment="1">
      <alignment horizontal="center" vertical="center"/>
    </xf>
    <xf numFmtId="0" fontId="22" fillId="7" borderId="0" xfId="0" applyFont="1" applyFill="1" applyAlignment="1">
      <alignment horizontal="center" vertical="center"/>
    </xf>
    <xf numFmtId="0" fontId="18" fillId="9"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00000000-0005-0000-0000-000003000000}"/>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00000000-0005-0000-0000-00000B000000}"/>
  </cellStyles>
  <dxfs count="55">
    <dxf>
      <fill>
        <patternFill>
          <bgColor theme="6" tint="0.39994506668294322"/>
        </patternFill>
      </fill>
      <border>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ont>
        <b/>
        <i val="0"/>
        <color theme="0"/>
      </font>
      <border>
        <left style="thin">
          <color rgb="FFC00000"/>
        </left>
        <right style="thin">
          <color rgb="FFC00000"/>
        </right>
        <vertical/>
        <horizontal/>
      </border>
    </dxf>
    <dxf>
      <fill>
        <patternFill>
          <bgColor theme="6" tint="0.59996337778862885"/>
        </patternFill>
      </fill>
      <border>
        <top style="thin">
          <color theme="0"/>
        </top>
        <bottom style="thin">
          <color theme="0"/>
        </bottom>
        <vertical/>
        <horizontal/>
      </border>
    </dxf>
    <dxf>
      <fill>
        <patternFill>
          <bgColor theme="6" tint="0.79998168889431442"/>
        </patternFill>
      </fill>
      <border>
        <top style="thin">
          <color theme="0"/>
        </top>
        <bottom style="thin">
          <color theme="0"/>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border>
        <bottom style="thin">
          <color theme="0" tint="-0.34998626667073579"/>
        </bottom>
      </border>
    </dxf>
    <dxf>
      <font>
        <b/>
        <strike val="0"/>
        <outline val="0"/>
        <shadow val="0"/>
        <u val="none"/>
        <vertAlign val="baseline"/>
        <name val="Bahnschrift"/>
        <family val="2"/>
        <scheme val="none"/>
      </font>
      <fill>
        <patternFill patternType="solid">
          <fgColor indexed="64"/>
          <bgColor theme="4" tint="-0.499984740745262"/>
        </patternFill>
      </fill>
      <border diagonalUp="0" diagonalDown="0" outline="0">
        <left/>
        <right/>
        <top/>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3" tint="-0.24994659260841701"/>
      </font>
      <border diagonalUp="0" diagonalDown="0">
        <left/>
        <right style="thin">
          <color theme="6" tint="0.39994506668294322"/>
        </right>
        <top/>
        <bottom/>
        <vertical/>
        <horizontal/>
      </border>
    </dxf>
  </dxfs>
  <tableStyles count="2" defaultTableStyle="Gantt Table Style" defaultPivotStyle="PivotStyleLight16">
    <tableStyle name="Gantt Table Style" pivot="0" count="3" xr9:uid="{00000000-0011-0000-FFFF-FFFF00000000}">
      <tableStyleElement type="wholeTable" dxfId="54"/>
      <tableStyleElement type="headerRow" dxfId="53"/>
      <tableStyleElement type="firstRowStripe" dxfId="52"/>
    </tableStyle>
    <tableStyle name="ToDoList" pivot="0" count="9" xr9:uid="{00000000-0011-0000-FFFF-FFFF01000000}">
      <tableStyleElement type="wholeTable" dxfId="51"/>
      <tableStyleElement type="headerRow" dxfId="50"/>
      <tableStyleElement type="totalRow" dxfId="49"/>
      <tableStyleElement type="firstColumn" dxfId="48"/>
      <tableStyleElement type="lastColumn" dxfId="47"/>
      <tableStyleElement type="firstRowStripe" dxfId="46"/>
      <tableStyleElement type="secondRowStripe" dxfId="45"/>
      <tableStyleElement type="firstColumnStripe" dxfId="44"/>
      <tableStyleElement type="secondColumnStripe" dxfId="4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lestones" displayName="Milestones" ref="A7:F32" totalsRowShown="0" headerRowDxfId="42" headerRowBorderDxfId="41">
  <autoFilter ref="A7:F32"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Milestone Description" dataDxfId="40"/>
    <tableColumn id="2" xr3:uid="{00000000-0010-0000-0000-000002000000}" name="Category" dataDxfId="39"/>
    <tableColumn id="3" xr3:uid="{00000000-0010-0000-0000-000003000000}" name="Assigned To" dataDxfId="38"/>
    <tableColumn id="4" xr3:uid="{00000000-0010-0000-0000-000004000000}" name="Progress"/>
    <tableColumn id="5" xr3:uid="{00000000-0010-0000-0000-000005000000}" name="Start" dataCellStyle="Date"/>
    <tableColumn id="6" xr3:uid="{00000000-0010-0000-0000-000006000000}" name="No. Days"/>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Attitude">
      <a:dk1>
        <a:sysClr val="windowText" lastClr="000000"/>
      </a:dk1>
      <a:lt1>
        <a:sysClr val="window" lastClr="FFFFFF"/>
      </a:lt1>
      <a:dk2>
        <a:srgbClr val="44546A"/>
      </a:dk2>
      <a:lt2>
        <a:srgbClr val="E7E6E6"/>
      </a:lt2>
      <a:accent1>
        <a:srgbClr val="1180AE"/>
      </a:accent1>
      <a:accent2>
        <a:srgbClr val="6C5B97"/>
      </a:accent2>
      <a:accent3>
        <a:srgbClr val="FCB239"/>
      </a:accent3>
      <a:accent4>
        <a:srgbClr val="D74061"/>
      </a:accent4>
      <a:accent5>
        <a:srgbClr val="F37A29"/>
      </a:accent5>
      <a:accent6>
        <a:srgbClr val="B66BA3"/>
      </a:accent6>
      <a:hlink>
        <a:srgbClr val="D2B356"/>
      </a:hlink>
      <a:folHlink>
        <a:srgbClr val="C5916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59999389629810485"/>
    <pageSetUpPr fitToPage="1"/>
  </sheetPr>
  <dimension ref="A1:BK35"/>
  <sheetViews>
    <sheetView showGridLines="0" tabSelected="1" showRuler="0" zoomScaleNormal="100" zoomScalePageLayoutView="70" workbookViewId="0">
      <selection activeCell="J16" sqref="J16"/>
    </sheetView>
  </sheetViews>
  <sheetFormatPr defaultRowHeight="30" customHeight="1" x14ac:dyDescent="0.25"/>
  <cols>
    <col min="1" max="1" width="22" customWidth="1"/>
    <col min="2" max="2" width="10.5703125" customWidth="1"/>
    <col min="3" max="3" width="20.5703125" customWidth="1"/>
    <col min="4" max="4" width="10.7109375" customWidth="1"/>
    <col min="5" max="5" width="10.42578125" style="3" customWidth="1"/>
    <col min="6" max="6" width="10.42578125" customWidth="1"/>
    <col min="7" max="7" width="2.7109375" customWidth="1"/>
    <col min="8" max="63" width="3.5703125" customWidth="1"/>
    <col min="68" max="69" width="10.28515625"/>
  </cols>
  <sheetData>
    <row r="1" spans="1:63" ht="30" customHeight="1" x14ac:dyDescent="0.45">
      <c r="A1" s="30" t="s">
        <v>32</v>
      </c>
      <c r="B1" s="14"/>
      <c r="C1" s="1"/>
      <c r="E1"/>
      <c r="F1" s="7"/>
      <c r="H1" s="34" t="s">
        <v>0</v>
      </c>
      <c r="I1" s="8"/>
    </row>
    <row r="2" spans="1:63" ht="30" customHeight="1" x14ac:dyDescent="0.25">
      <c r="A2" s="55" t="s">
        <v>1</v>
      </c>
      <c r="B2" s="55"/>
      <c r="F2" s="3"/>
      <c r="H2" s="60" t="s">
        <v>2</v>
      </c>
      <c r="I2" s="60"/>
      <c r="J2" s="60"/>
      <c r="K2" s="60"/>
      <c r="M2" s="61" t="s">
        <v>3</v>
      </c>
      <c r="N2" s="61"/>
      <c r="O2" s="61"/>
      <c r="P2" s="61"/>
      <c r="R2" s="62" t="s">
        <v>4</v>
      </c>
      <c r="S2" s="62"/>
      <c r="T2" s="62"/>
      <c r="U2" s="62"/>
      <c r="W2" s="57" t="s">
        <v>5</v>
      </c>
      <c r="X2" s="57"/>
      <c r="Y2" s="57"/>
      <c r="Z2" s="57"/>
      <c r="AB2" s="56" t="s">
        <v>6</v>
      </c>
      <c r="AC2" s="56"/>
      <c r="AD2" s="56"/>
      <c r="AE2" s="56"/>
      <c r="AF2" s="56"/>
    </row>
    <row r="3" spans="1:63" ht="15.75" x14ac:dyDescent="0.25">
      <c r="A3" s="54" t="s">
        <v>33</v>
      </c>
      <c r="B3" s="54"/>
      <c r="C3" s="58" t="s">
        <v>7</v>
      </c>
      <c r="D3" s="58"/>
      <c r="E3" s="59">
        <v>45712</v>
      </c>
      <c r="F3" s="59"/>
      <c r="G3" s="31"/>
    </row>
    <row r="4" spans="1:63" ht="21" x14ac:dyDescent="0.35">
      <c r="A4" s="54" t="s">
        <v>34</v>
      </c>
      <c r="B4" s="54"/>
      <c r="C4" s="58" t="s">
        <v>8</v>
      </c>
      <c r="D4" s="58"/>
      <c r="E4" s="33">
        <v>7</v>
      </c>
      <c r="F4" s="32"/>
      <c r="G4" s="31"/>
      <c r="H4" s="36" t="str">
        <f>TEXT(H5,"mmmm")</f>
        <v>April</v>
      </c>
      <c r="I4" s="37"/>
      <c r="J4" s="37"/>
      <c r="K4" s="37"/>
      <c r="L4" s="37"/>
      <c r="M4" s="37"/>
      <c r="N4" s="37"/>
      <c r="O4" s="37" t="str">
        <f>IF(TEXT(O5,"mmmm")=H4,"",TEXT(O5,"mmmm"))</f>
        <v/>
      </c>
      <c r="P4" s="37"/>
      <c r="Q4" s="37"/>
      <c r="R4" s="37"/>
      <c r="S4" s="37"/>
      <c r="T4" s="37"/>
      <c r="U4" s="29"/>
      <c r="V4" s="35" t="str">
        <f>IF(OR(TEXT(V5,"mmmm")=O4,TEXT(V5,"mmmm")=H4),"",TEXT(V5,"mmmm"))</f>
        <v/>
      </c>
      <c r="W4" s="29"/>
      <c r="X4" s="29"/>
      <c r="Y4" s="29"/>
      <c r="Z4" s="29"/>
      <c r="AA4" s="29"/>
      <c r="AB4" s="29"/>
      <c r="AC4" s="29" t="str">
        <f>IF(OR(TEXT(AC5,"mmmm")=V4,TEXT(AC5,"mmmm")=O4,TEXT(AC5,"mmmm")=H4),"",TEXT(AC5,"mmmm"))</f>
        <v/>
      </c>
      <c r="AD4" s="29"/>
      <c r="AE4" s="29"/>
      <c r="AF4" s="29"/>
      <c r="AG4" s="29"/>
      <c r="AH4" s="29"/>
      <c r="AI4" s="29"/>
      <c r="AJ4" s="29" t="str">
        <f>IF(OR(TEXT(AJ5,"mmmm")=AC4,TEXT(AJ5,"mmmm")=V4,TEXT(AJ5,"mmmm")=O4,TEXT(AJ5,"mmmm")=H4),"",TEXT(AJ5,"mmmm"))</f>
        <v>May</v>
      </c>
      <c r="AK4" s="29"/>
      <c r="AL4" s="29"/>
      <c r="AM4" s="29"/>
      <c r="AN4" s="29"/>
      <c r="AO4" s="29"/>
      <c r="AP4" s="29"/>
      <c r="AQ4" s="29" t="str">
        <f>IF(OR(TEXT(AQ5,"mmmm")=AJ4,TEXT(AQ5,"mmmm")=AC4,TEXT(AQ5,"mmmm")=V4,TEXT(AQ5,"mmmm")=O4),"",TEXT(AQ5,"mmmm"))</f>
        <v/>
      </c>
      <c r="AR4" s="29"/>
      <c r="AS4" s="29"/>
      <c r="AT4" s="29"/>
      <c r="AU4" s="29"/>
      <c r="AV4" s="29"/>
      <c r="AW4" s="29"/>
      <c r="AX4" s="29" t="str">
        <f>IF(OR(TEXT(AX5,"mmmm")=AQ4,TEXT(AX5,"mmmm")=AJ4,TEXT(AX5,"mmmm")=AC4,TEXT(AX5,"mmmm")=V4),"",TEXT(AX5,"mmmm"))</f>
        <v/>
      </c>
      <c r="AY4" s="29"/>
      <c r="AZ4" s="29"/>
      <c r="BA4" s="29"/>
      <c r="BB4" s="29"/>
      <c r="BC4" s="29"/>
      <c r="BD4" s="29"/>
      <c r="BE4" s="35" t="str">
        <f>IF(OR(TEXT(BE5,"mmmm")=AX4,TEXT(BE5,"mmmm")=AQ4,TEXT(BE5,"mmmm")=AJ4,TEXT(BE5,"mmmm")=AC4),"",TEXT(BE5,"mmmm"))</f>
        <v/>
      </c>
      <c r="BF4" s="29"/>
      <c r="BG4" s="29"/>
      <c r="BH4" s="29"/>
      <c r="BI4" s="29"/>
      <c r="BJ4" s="29"/>
      <c r="BK4" s="29"/>
    </row>
    <row r="5" spans="1:63" ht="15.75" x14ac:dyDescent="0.25">
      <c r="A5" s="54" t="s">
        <v>35</v>
      </c>
      <c r="B5" s="54"/>
      <c r="C5" s="31"/>
      <c r="D5" s="31"/>
      <c r="E5" s="31"/>
      <c r="F5" s="31"/>
      <c r="G5" s="31"/>
      <c r="H5" s="38">
        <f>E3-WEEKDAY(E3,1)+2+7*(E4-1)</f>
        <v>45754</v>
      </c>
      <c r="I5" s="39">
        <f>H5+1</f>
        <v>45755</v>
      </c>
      <c r="J5" s="39">
        <f t="shared" ref="J5:AW5" si="0">I5+1</f>
        <v>45756</v>
      </c>
      <c r="K5" s="39">
        <f t="shared" si="0"/>
        <v>45757</v>
      </c>
      <c r="L5" s="39">
        <f t="shared" si="0"/>
        <v>45758</v>
      </c>
      <c r="M5" s="39">
        <f t="shared" si="0"/>
        <v>45759</v>
      </c>
      <c r="N5" s="40">
        <f t="shared" si="0"/>
        <v>45760</v>
      </c>
      <c r="O5" s="38">
        <f>N5+1</f>
        <v>45761</v>
      </c>
      <c r="P5" s="39">
        <f>O5+1</f>
        <v>45762</v>
      </c>
      <c r="Q5" s="39">
        <f t="shared" si="0"/>
        <v>45763</v>
      </c>
      <c r="R5" s="39">
        <f t="shared" si="0"/>
        <v>45764</v>
      </c>
      <c r="S5" s="39">
        <f t="shared" si="0"/>
        <v>45765</v>
      </c>
      <c r="T5" s="39">
        <f t="shared" si="0"/>
        <v>45766</v>
      </c>
      <c r="U5" s="40">
        <f t="shared" si="0"/>
        <v>45767</v>
      </c>
      <c r="V5" s="38">
        <f>U5+1</f>
        <v>45768</v>
      </c>
      <c r="W5" s="39">
        <f>V5+1</f>
        <v>45769</v>
      </c>
      <c r="X5" s="39">
        <f t="shared" si="0"/>
        <v>45770</v>
      </c>
      <c r="Y5" s="39">
        <f t="shared" si="0"/>
        <v>45771</v>
      </c>
      <c r="Z5" s="39">
        <f t="shared" si="0"/>
        <v>45772</v>
      </c>
      <c r="AA5" s="39">
        <f t="shared" si="0"/>
        <v>45773</v>
      </c>
      <c r="AB5" s="40">
        <f t="shared" si="0"/>
        <v>45774</v>
      </c>
      <c r="AC5" s="38">
        <f>AB5+1</f>
        <v>45775</v>
      </c>
      <c r="AD5" s="39">
        <f>AC5+1</f>
        <v>45776</v>
      </c>
      <c r="AE5" s="39">
        <f t="shared" si="0"/>
        <v>45777</v>
      </c>
      <c r="AF5" s="39">
        <f t="shared" si="0"/>
        <v>45778</v>
      </c>
      <c r="AG5" s="39">
        <f t="shared" si="0"/>
        <v>45779</v>
      </c>
      <c r="AH5" s="39">
        <f t="shared" si="0"/>
        <v>45780</v>
      </c>
      <c r="AI5" s="40">
        <f t="shared" si="0"/>
        <v>45781</v>
      </c>
      <c r="AJ5" s="38">
        <f>AI5+1</f>
        <v>45782</v>
      </c>
      <c r="AK5" s="39">
        <f>AJ5+1</f>
        <v>45783</v>
      </c>
      <c r="AL5" s="39">
        <f t="shared" si="0"/>
        <v>45784</v>
      </c>
      <c r="AM5" s="39">
        <f t="shared" si="0"/>
        <v>45785</v>
      </c>
      <c r="AN5" s="39">
        <f t="shared" si="0"/>
        <v>45786</v>
      </c>
      <c r="AO5" s="39">
        <f t="shared" si="0"/>
        <v>45787</v>
      </c>
      <c r="AP5" s="40">
        <f t="shared" si="0"/>
        <v>45788</v>
      </c>
      <c r="AQ5" s="38">
        <f>AP5+1</f>
        <v>45789</v>
      </c>
      <c r="AR5" s="39">
        <f>AQ5+1</f>
        <v>45790</v>
      </c>
      <c r="AS5" s="39">
        <f t="shared" si="0"/>
        <v>45791</v>
      </c>
      <c r="AT5" s="39">
        <f t="shared" si="0"/>
        <v>45792</v>
      </c>
      <c r="AU5" s="39">
        <f t="shared" si="0"/>
        <v>45793</v>
      </c>
      <c r="AV5" s="39">
        <f t="shared" si="0"/>
        <v>45794</v>
      </c>
      <c r="AW5" s="40">
        <f t="shared" si="0"/>
        <v>45795</v>
      </c>
      <c r="AX5" s="38">
        <f>AW5+1</f>
        <v>45796</v>
      </c>
      <c r="AY5" s="39">
        <f>AX5+1</f>
        <v>45797</v>
      </c>
      <c r="AZ5" s="39">
        <f t="shared" ref="AZ5:BD5" si="1">AY5+1</f>
        <v>45798</v>
      </c>
      <c r="BA5" s="39">
        <f t="shared" si="1"/>
        <v>45799</v>
      </c>
      <c r="BB5" s="39">
        <f t="shared" si="1"/>
        <v>45800</v>
      </c>
      <c r="BC5" s="39">
        <f t="shared" si="1"/>
        <v>45801</v>
      </c>
      <c r="BD5" s="40">
        <f t="shared" si="1"/>
        <v>45802</v>
      </c>
      <c r="BE5" s="38">
        <f>BD5+1</f>
        <v>45803</v>
      </c>
      <c r="BF5" s="39">
        <f>BE5+1</f>
        <v>45804</v>
      </c>
      <c r="BG5" s="39">
        <f t="shared" ref="BG5:BK5" si="2">BF5+1</f>
        <v>45805</v>
      </c>
      <c r="BH5" s="39">
        <f t="shared" si="2"/>
        <v>45806</v>
      </c>
      <c r="BI5" s="39">
        <f t="shared" si="2"/>
        <v>45807</v>
      </c>
      <c r="BJ5" s="39">
        <f t="shared" si="2"/>
        <v>45808</v>
      </c>
      <c r="BK5" s="40">
        <f t="shared" si="2"/>
        <v>45809</v>
      </c>
    </row>
    <row r="6" spans="1:63" ht="25.15" customHeight="1" x14ac:dyDescent="0.25">
      <c r="E6"/>
      <c r="H6" s="42" t="str">
        <f>"Week "&amp;(H5-($E$3-WEEKDAY($E$3,1)+2))/7+3</f>
        <v>Week 9</v>
      </c>
      <c r="I6" s="43"/>
      <c r="J6" s="43"/>
      <c r="K6" s="43"/>
      <c r="L6" s="43"/>
      <c r="M6" s="43"/>
      <c r="N6" s="44"/>
      <c r="O6" s="45" t="str">
        <f>"Week "&amp;(O5-($E$3-WEEKDAY($E$3,1)+2))/7+3</f>
        <v>Week 10</v>
      </c>
      <c r="P6" s="46"/>
      <c r="Q6" s="46"/>
      <c r="R6" s="46"/>
      <c r="S6" s="46"/>
      <c r="T6" s="46"/>
      <c r="U6" s="47"/>
      <c r="V6" s="48" t="str">
        <f>"Week "&amp;(V5-($E$3-WEEKDAY($E$3,1)+2))/7+3</f>
        <v>Week 11</v>
      </c>
      <c r="W6" s="49"/>
      <c r="X6" s="49"/>
      <c r="Y6" s="49"/>
      <c r="Z6" s="49"/>
      <c r="AA6" s="49"/>
      <c r="AB6" s="50"/>
      <c r="AC6" s="42" t="str">
        <f>"Week "&amp;(AC5-($E$3-WEEKDAY($E$3,1)+2))/7+3</f>
        <v>Week 12</v>
      </c>
      <c r="AD6" s="43"/>
      <c r="AE6" s="43"/>
      <c r="AF6" s="43"/>
      <c r="AG6" s="43"/>
      <c r="AH6" s="43"/>
      <c r="AI6" s="44"/>
      <c r="AJ6" s="45" t="str">
        <f>"Week "&amp;(AJ5-($E$3-WEEKDAY($E$3,1)+2))/7+3</f>
        <v>Week 13</v>
      </c>
      <c r="AK6" s="46"/>
      <c r="AL6" s="46"/>
      <c r="AM6" s="46"/>
      <c r="AN6" s="46"/>
      <c r="AO6" s="46"/>
      <c r="AP6" s="47"/>
      <c r="AQ6" s="48" t="str">
        <f>"Week "&amp;(AQ5-($E$3-WEEKDAY($E$3,1)+2))/7+3</f>
        <v>Week 14</v>
      </c>
      <c r="AR6" s="49"/>
      <c r="AS6" s="49"/>
      <c r="AT6" s="49"/>
      <c r="AU6" s="49"/>
      <c r="AV6" s="49"/>
      <c r="AW6" s="50"/>
      <c r="AX6" s="42" t="str">
        <f>"Week "&amp;(AX5-($E$3-WEEKDAY($E$3,1)+2))/7+3</f>
        <v>Week 15</v>
      </c>
      <c r="AY6" s="43"/>
      <c r="AZ6" s="43"/>
      <c r="BA6" s="43"/>
      <c r="BB6" s="43"/>
      <c r="BC6" s="43"/>
      <c r="BD6" s="44"/>
      <c r="BE6" s="45" t="str">
        <f>"Week "&amp;(BE5-($E$3-WEEKDAY($E$3,1)+2))/7+3</f>
        <v>Week 16</v>
      </c>
      <c r="BF6" s="46"/>
      <c r="BG6" s="46"/>
      <c r="BH6" s="46"/>
      <c r="BI6" s="46"/>
      <c r="BJ6" s="46"/>
      <c r="BK6" s="47"/>
    </row>
    <row r="7" spans="1:63" ht="30.95" customHeight="1" thickBot="1" x14ac:dyDescent="0.3">
      <c r="A7" s="51" t="s">
        <v>9</v>
      </c>
      <c r="B7" s="52" t="s">
        <v>10</v>
      </c>
      <c r="C7" s="52" t="s">
        <v>11</v>
      </c>
      <c r="D7" s="52" t="s">
        <v>12</v>
      </c>
      <c r="E7" s="52" t="s">
        <v>13</v>
      </c>
      <c r="F7" s="52" t="s">
        <v>14</v>
      </c>
      <c r="G7" s="53"/>
      <c r="H7" s="41" t="str">
        <f>LEFT(TEXT(H5,"ddd"),1)</f>
        <v>M</v>
      </c>
      <c r="I7" s="41" t="str">
        <f t="shared" ref="I7:AQ7" si="3">LEFT(TEXT(I5,"ddd"),1)</f>
        <v>T</v>
      </c>
      <c r="J7" s="41" t="str">
        <f t="shared" si="3"/>
        <v>W</v>
      </c>
      <c r="K7" s="41" t="str">
        <f>LEFT(TEXT(K5,"ddd"),2)</f>
        <v>Th</v>
      </c>
      <c r="L7" s="41" t="str">
        <f t="shared" si="3"/>
        <v>F</v>
      </c>
      <c r="M7" s="41" t="str">
        <f t="shared" si="3"/>
        <v>S</v>
      </c>
      <c r="N7" s="41" t="str">
        <f t="shared" si="3"/>
        <v>S</v>
      </c>
      <c r="O7" s="41" t="str">
        <f t="shared" si="3"/>
        <v>M</v>
      </c>
      <c r="P7" s="41" t="str">
        <f t="shared" si="3"/>
        <v>T</v>
      </c>
      <c r="Q7" s="41" t="str">
        <f t="shared" si="3"/>
        <v>W</v>
      </c>
      <c r="R7" s="41" t="str">
        <f>LEFT(TEXT(R5,"ddd"),2)</f>
        <v>Th</v>
      </c>
      <c r="S7" s="41" t="str">
        <f t="shared" si="3"/>
        <v>F</v>
      </c>
      <c r="T7" s="41" t="str">
        <f t="shared" si="3"/>
        <v>S</v>
      </c>
      <c r="U7" s="41" t="str">
        <f t="shared" si="3"/>
        <v>S</v>
      </c>
      <c r="V7" s="41" t="str">
        <f t="shared" si="3"/>
        <v>M</v>
      </c>
      <c r="W7" s="41" t="str">
        <f t="shared" si="3"/>
        <v>T</v>
      </c>
      <c r="X7" s="41" t="str">
        <f t="shared" si="3"/>
        <v>W</v>
      </c>
      <c r="Y7" s="41" t="str">
        <f>LEFT(TEXT(Y5,"ddd"),2)</f>
        <v>Th</v>
      </c>
      <c r="Z7" s="41" t="str">
        <f t="shared" si="3"/>
        <v>F</v>
      </c>
      <c r="AA7" s="41" t="str">
        <f t="shared" si="3"/>
        <v>S</v>
      </c>
      <c r="AB7" s="41" t="str">
        <f t="shared" si="3"/>
        <v>S</v>
      </c>
      <c r="AC7" s="41" t="str">
        <f t="shared" si="3"/>
        <v>M</v>
      </c>
      <c r="AD7" s="41" t="str">
        <f t="shared" si="3"/>
        <v>T</v>
      </c>
      <c r="AE7" s="41" t="str">
        <f t="shared" si="3"/>
        <v>W</v>
      </c>
      <c r="AF7" s="41" t="str">
        <f>LEFT(TEXT(AF5,"ddd"),2)</f>
        <v>Th</v>
      </c>
      <c r="AG7" s="41" t="str">
        <f t="shared" si="3"/>
        <v>F</v>
      </c>
      <c r="AH7" s="41" t="str">
        <f t="shared" si="3"/>
        <v>S</v>
      </c>
      <c r="AI7" s="41" t="str">
        <f t="shared" si="3"/>
        <v>S</v>
      </c>
      <c r="AJ7" s="41" t="str">
        <f t="shared" si="3"/>
        <v>M</v>
      </c>
      <c r="AK7" s="41" t="str">
        <f t="shared" si="3"/>
        <v>T</v>
      </c>
      <c r="AL7" s="41" t="str">
        <f t="shared" si="3"/>
        <v>W</v>
      </c>
      <c r="AM7" s="41" t="str">
        <f>LEFT(TEXT(AM5,"ddd"),2)</f>
        <v>Th</v>
      </c>
      <c r="AN7" s="41" t="str">
        <f t="shared" si="3"/>
        <v>F</v>
      </c>
      <c r="AO7" s="41" t="str">
        <f t="shared" si="3"/>
        <v>S</v>
      </c>
      <c r="AP7" s="41" t="str">
        <f t="shared" si="3"/>
        <v>S</v>
      </c>
      <c r="AQ7" s="41" t="str">
        <f t="shared" si="3"/>
        <v>M</v>
      </c>
      <c r="AR7" s="41" t="str">
        <f t="shared" ref="AR7:BK7" si="4">LEFT(TEXT(AR5,"ddd"),1)</f>
        <v>T</v>
      </c>
      <c r="AS7" s="41" t="str">
        <f t="shared" si="4"/>
        <v>W</v>
      </c>
      <c r="AT7" s="41" t="str">
        <f>LEFT(TEXT(AT5,"ddd"),2)</f>
        <v>Th</v>
      </c>
      <c r="AU7" s="41" t="str">
        <f t="shared" si="4"/>
        <v>F</v>
      </c>
      <c r="AV7" s="41" t="str">
        <f t="shared" si="4"/>
        <v>S</v>
      </c>
      <c r="AW7" s="41" t="str">
        <f t="shared" si="4"/>
        <v>S</v>
      </c>
      <c r="AX7" s="41" t="str">
        <f t="shared" si="4"/>
        <v>M</v>
      </c>
      <c r="AY7" s="41" t="str">
        <f t="shared" si="4"/>
        <v>T</v>
      </c>
      <c r="AZ7" s="41" t="str">
        <f t="shared" si="4"/>
        <v>W</v>
      </c>
      <c r="BA7" s="41" t="str">
        <f>LEFT(TEXT(BA5,"ddd"),2)</f>
        <v>Th</v>
      </c>
      <c r="BB7" s="41" t="str">
        <f t="shared" si="4"/>
        <v>F</v>
      </c>
      <c r="BC7" s="41" t="str">
        <f t="shared" si="4"/>
        <v>S</v>
      </c>
      <c r="BD7" s="41" t="str">
        <f t="shared" si="4"/>
        <v>S</v>
      </c>
      <c r="BE7" s="41" t="str">
        <f t="shared" si="4"/>
        <v>M</v>
      </c>
      <c r="BF7" s="41" t="str">
        <f t="shared" si="4"/>
        <v>T</v>
      </c>
      <c r="BG7" s="41" t="str">
        <f t="shared" si="4"/>
        <v>W</v>
      </c>
      <c r="BH7" s="41" t="str">
        <f>LEFT(TEXT(BH5,"ddd"),2)</f>
        <v>Th</v>
      </c>
      <c r="BI7" s="41" t="str">
        <f t="shared" si="4"/>
        <v>F</v>
      </c>
      <c r="BJ7" s="41" t="str">
        <f t="shared" si="4"/>
        <v>S</v>
      </c>
      <c r="BK7" s="41" t="str">
        <f t="shared" si="4"/>
        <v>S</v>
      </c>
    </row>
    <row r="8" spans="1:63" ht="15.75" hidden="1" customHeight="1" x14ac:dyDescent="0.25">
      <c r="A8" s="26"/>
      <c r="B8" s="18"/>
      <c r="C8" s="17"/>
      <c r="D8" s="18"/>
      <c r="E8" s="19"/>
      <c r="F8" s="20"/>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row>
    <row r="9" spans="1:63" s="2" customFormat="1" ht="30" customHeight="1" x14ac:dyDescent="0.25">
      <c r="A9" s="27" t="s">
        <v>38</v>
      </c>
      <c r="B9" s="21"/>
      <c r="C9" s="21"/>
      <c r="D9" s="18"/>
      <c r="E9" s="19"/>
      <c r="F9" s="20"/>
      <c r="G9" s="16"/>
      <c r="H9" s="24" t="str">
        <f t="shared" ref="H9:W13" si="5">IF(AND($B9="Goal",H$5&gt;=$E9,H$5&lt;=$E9+$F9-1),2,IF(AND($B9="Milestone",H$5&gt;=$E9,H$5&lt;=$E9+$F9-1),1,""))</f>
        <v/>
      </c>
      <c r="I9" s="24" t="str">
        <f t="shared" si="5"/>
        <v/>
      </c>
      <c r="J9" s="24" t="str">
        <f t="shared" si="5"/>
        <v/>
      </c>
      <c r="K9" s="24" t="str">
        <f t="shared" si="5"/>
        <v/>
      </c>
      <c r="L9" s="24" t="str">
        <f t="shared" si="5"/>
        <v/>
      </c>
      <c r="M9" s="24" t="str">
        <f t="shared" si="5"/>
        <v/>
      </c>
      <c r="N9" s="24" t="str">
        <f t="shared" si="5"/>
        <v/>
      </c>
      <c r="O9" s="24" t="str">
        <f t="shared" si="5"/>
        <v/>
      </c>
      <c r="P9" s="24" t="str">
        <f t="shared" si="5"/>
        <v/>
      </c>
      <c r="Q9" s="24" t="str">
        <f t="shared" si="5"/>
        <v/>
      </c>
      <c r="R9" s="24" t="str">
        <f t="shared" si="5"/>
        <v/>
      </c>
      <c r="S9" s="24" t="str">
        <f t="shared" si="5"/>
        <v/>
      </c>
      <c r="T9" s="24" t="str">
        <f t="shared" si="5"/>
        <v/>
      </c>
      <c r="U9" s="24" t="str">
        <f t="shared" si="5"/>
        <v/>
      </c>
      <c r="V9" s="24" t="str">
        <f t="shared" si="5"/>
        <v/>
      </c>
      <c r="W9" s="24" t="str">
        <f t="shared" si="5"/>
        <v/>
      </c>
      <c r="X9" s="24" t="str">
        <f t="shared" ref="X9:AM13" si="6">IF(AND($B9="Goal",X$5&gt;=$E9,X$5&lt;=$E9+$F9-1),2,IF(AND($B9="Milestone",X$5&gt;=$E9,X$5&lt;=$E9+$F9-1),1,""))</f>
        <v/>
      </c>
      <c r="Y9" s="24" t="str">
        <f t="shared" si="6"/>
        <v/>
      </c>
      <c r="Z9" s="24" t="str">
        <f t="shared" si="6"/>
        <v/>
      </c>
      <c r="AA9" s="24" t="str">
        <f t="shared" si="6"/>
        <v/>
      </c>
      <c r="AB9" s="24" t="str">
        <f t="shared" si="6"/>
        <v/>
      </c>
      <c r="AC9" s="24" t="str">
        <f t="shared" si="6"/>
        <v/>
      </c>
      <c r="AD9" s="24" t="str">
        <f t="shared" si="6"/>
        <v/>
      </c>
      <c r="AE9" s="24" t="str">
        <f t="shared" si="6"/>
        <v/>
      </c>
      <c r="AF9" s="24" t="str">
        <f t="shared" si="6"/>
        <v/>
      </c>
      <c r="AG9" s="24" t="str">
        <f t="shared" si="6"/>
        <v/>
      </c>
      <c r="AH9" s="24" t="str">
        <f t="shared" si="6"/>
        <v/>
      </c>
      <c r="AI9" s="24" t="str">
        <f t="shared" si="6"/>
        <v/>
      </c>
      <c r="AJ9" s="24" t="str">
        <f t="shared" si="6"/>
        <v/>
      </c>
      <c r="AK9" s="24" t="str">
        <f t="shared" si="6"/>
        <v/>
      </c>
      <c r="AL9" s="24" t="str">
        <f t="shared" si="6"/>
        <v/>
      </c>
      <c r="AM9" s="24" t="str">
        <f t="shared" si="6"/>
        <v/>
      </c>
      <c r="AN9" s="24" t="str">
        <f t="shared" ref="AN9:BC13" si="7">IF(AND($B9="Goal",AN$5&gt;=$E9,AN$5&lt;=$E9+$F9-1),2,IF(AND($B9="Milestone",AN$5&gt;=$E9,AN$5&lt;=$E9+$F9-1),1,""))</f>
        <v/>
      </c>
      <c r="AO9" s="24" t="str">
        <f t="shared" si="7"/>
        <v/>
      </c>
      <c r="AP9" s="24" t="str">
        <f t="shared" si="7"/>
        <v/>
      </c>
      <c r="AQ9" s="24" t="str">
        <f t="shared" si="7"/>
        <v/>
      </c>
      <c r="AR9" s="24" t="str">
        <f t="shared" si="7"/>
        <v/>
      </c>
      <c r="AS9" s="24" t="str">
        <f t="shared" si="7"/>
        <v/>
      </c>
      <c r="AT9" s="24" t="str">
        <f t="shared" si="7"/>
        <v/>
      </c>
      <c r="AU9" s="24" t="str">
        <f t="shared" si="7"/>
        <v/>
      </c>
      <c r="AV9" s="24" t="str">
        <f t="shared" si="7"/>
        <v/>
      </c>
      <c r="AW9" s="24" t="str">
        <f t="shared" si="7"/>
        <v/>
      </c>
      <c r="AX9" s="24" t="str">
        <f t="shared" si="7"/>
        <v/>
      </c>
      <c r="AY9" s="24" t="str">
        <f t="shared" si="7"/>
        <v/>
      </c>
      <c r="AZ9" s="24" t="str">
        <f t="shared" si="7"/>
        <v/>
      </c>
      <c r="BA9" s="24" t="str">
        <f t="shared" si="7"/>
        <v/>
      </c>
      <c r="BB9" s="24" t="str">
        <f t="shared" si="7"/>
        <v/>
      </c>
      <c r="BC9" s="24" t="str">
        <f t="shared" si="7"/>
        <v/>
      </c>
      <c r="BD9" s="24" t="str">
        <f t="shared" ref="BD9:BK13" si="8">IF(AND($B9="Goal",BD$5&gt;=$E9,BD$5&lt;=$E9+$F9-1),2,IF(AND($B9="Milestone",BD$5&gt;=$E9,BD$5&lt;=$E9+$F9-1),1,""))</f>
        <v/>
      </c>
      <c r="BE9" s="24" t="str">
        <f t="shared" si="8"/>
        <v/>
      </c>
      <c r="BF9" s="24" t="str">
        <f t="shared" si="8"/>
        <v/>
      </c>
      <c r="BG9" s="24" t="str">
        <f t="shared" si="8"/>
        <v/>
      </c>
      <c r="BH9" s="24" t="str">
        <f t="shared" si="8"/>
        <v/>
      </c>
      <c r="BI9" s="24" t="str">
        <f t="shared" si="8"/>
        <v/>
      </c>
      <c r="BJ9" s="24" t="str">
        <f t="shared" si="8"/>
        <v/>
      </c>
      <c r="BK9" s="24" t="str">
        <f t="shared" si="8"/>
        <v/>
      </c>
    </row>
    <row r="10" spans="1:63" s="2" customFormat="1" ht="30" customHeight="1" x14ac:dyDescent="0.25">
      <c r="A10" s="26" t="s">
        <v>39</v>
      </c>
      <c r="B10" s="21" t="s">
        <v>3</v>
      </c>
      <c r="C10" s="21" t="s">
        <v>36</v>
      </c>
      <c r="D10" s="18">
        <v>0.25</v>
      </c>
      <c r="E10" s="19">
        <v>45346</v>
      </c>
      <c r="F10" s="20">
        <v>7</v>
      </c>
      <c r="G10" s="16"/>
      <c r="H10" s="24" t="str">
        <f>IF(AND($B10="Goal",H$5&gt;=$E10,H$5&lt;=$E10+$F10-1),2,IF(AND($B10="Milestone",H$5&gt;=$E10,H$5&lt;=$E10+$F10-1),1,""))</f>
        <v/>
      </c>
      <c r="I10" s="24" t="str">
        <f t="shared" si="5"/>
        <v/>
      </c>
      <c r="J10" s="24" t="str">
        <f t="shared" si="5"/>
        <v/>
      </c>
      <c r="K10" s="24" t="str">
        <f t="shared" si="5"/>
        <v/>
      </c>
      <c r="L10" s="24" t="str">
        <f t="shared" si="5"/>
        <v/>
      </c>
      <c r="M10" s="24" t="str">
        <f t="shared" si="5"/>
        <v/>
      </c>
      <c r="N10" s="24" t="str">
        <f t="shared" si="5"/>
        <v/>
      </c>
      <c r="O10" s="24" t="str">
        <f t="shared" si="5"/>
        <v/>
      </c>
      <c r="P10" s="24" t="str">
        <f t="shared" si="5"/>
        <v/>
      </c>
      <c r="Q10" s="24" t="str">
        <f t="shared" si="5"/>
        <v/>
      </c>
      <c r="R10" s="24" t="str">
        <f t="shared" si="5"/>
        <v/>
      </c>
      <c r="S10" s="24" t="str">
        <f t="shared" si="5"/>
        <v/>
      </c>
      <c r="T10" s="24" t="str">
        <f t="shared" si="5"/>
        <v/>
      </c>
      <c r="U10" s="24" t="str">
        <f t="shared" si="5"/>
        <v/>
      </c>
      <c r="V10" s="24" t="str">
        <f t="shared" si="5"/>
        <v/>
      </c>
      <c r="W10" s="24" t="str">
        <f t="shared" si="5"/>
        <v/>
      </c>
      <c r="X10" s="24" t="str">
        <f t="shared" si="6"/>
        <v/>
      </c>
      <c r="Y10" s="24" t="str">
        <f t="shared" si="6"/>
        <v/>
      </c>
      <c r="Z10" s="24" t="str">
        <f t="shared" si="6"/>
        <v/>
      </c>
      <c r="AA10" s="24" t="str">
        <f t="shared" si="6"/>
        <v/>
      </c>
      <c r="AB10" s="24" t="str">
        <f t="shared" si="6"/>
        <v/>
      </c>
      <c r="AC10" s="24" t="str">
        <f t="shared" si="6"/>
        <v/>
      </c>
      <c r="AD10" s="24" t="str">
        <f t="shared" si="6"/>
        <v/>
      </c>
      <c r="AE10" s="24" t="str">
        <f t="shared" si="6"/>
        <v/>
      </c>
      <c r="AF10" s="24" t="str">
        <f t="shared" si="6"/>
        <v/>
      </c>
      <c r="AG10" s="24" t="str">
        <f t="shared" si="6"/>
        <v/>
      </c>
      <c r="AH10" s="24" t="str">
        <f t="shared" si="6"/>
        <v/>
      </c>
      <c r="AI10" s="24" t="str">
        <f t="shared" si="6"/>
        <v/>
      </c>
      <c r="AJ10" s="24" t="str">
        <f t="shared" si="6"/>
        <v/>
      </c>
      <c r="AK10" s="24" t="str">
        <f t="shared" si="6"/>
        <v/>
      </c>
      <c r="AL10" s="24" t="str">
        <f t="shared" si="6"/>
        <v/>
      </c>
      <c r="AM10" s="24" t="str">
        <f t="shared" si="6"/>
        <v/>
      </c>
      <c r="AN10" s="24" t="str">
        <f t="shared" si="7"/>
        <v/>
      </c>
      <c r="AO10" s="24" t="str">
        <f t="shared" si="7"/>
        <v/>
      </c>
      <c r="AP10" s="24" t="str">
        <f t="shared" si="7"/>
        <v/>
      </c>
      <c r="AQ10" s="24" t="str">
        <f t="shared" si="7"/>
        <v/>
      </c>
      <c r="AR10" s="24" t="str">
        <f t="shared" si="7"/>
        <v/>
      </c>
      <c r="AS10" s="24" t="str">
        <f t="shared" si="7"/>
        <v/>
      </c>
      <c r="AT10" s="24" t="str">
        <f t="shared" si="7"/>
        <v/>
      </c>
      <c r="AU10" s="24" t="str">
        <f t="shared" si="7"/>
        <v/>
      </c>
      <c r="AV10" s="24" t="str">
        <f t="shared" si="7"/>
        <v/>
      </c>
      <c r="AW10" s="24" t="str">
        <f t="shared" si="7"/>
        <v/>
      </c>
      <c r="AX10" s="24" t="str">
        <f t="shared" si="7"/>
        <v/>
      </c>
      <c r="AY10" s="24" t="str">
        <f t="shared" si="7"/>
        <v/>
      </c>
      <c r="AZ10" s="24" t="str">
        <f t="shared" si="7"/>
        <v/>
      </c>
      <c r="BA10" s="24" t="str">
        <f t="shared" si="7"/>
        <v/>
      </c>
      <c r="BB10" s="24" t="str">
        <f t="shared" si="7"/>
        <v/>
      </c>
      <c r="BC10" s="24" t="str">
        <f t="shared" si="7"/>
        <v/>
      </c>
      <c r="BD10" s="24" t="str">
        <f t="shared" si="8"/>
        <v/>
      </c>
      <c r="BE10" s="24" t="str">
        <f t="shared" si="8"/>
        <v/>
      </c>
      <c r="BF10" s="24" t="str">
        <f t="shared" si="8"/>
        <v/>
      </c>
      <c r="BG10" s="24" t="str">
        <f t="shared" si="8"/>
        <v/>
      </c>
      <c r="BH10" s="24" t="str">
        <f t="shared" si="8"/>
        <v/>
      </c>
      <c r="BI10" s="24" t="str">
        <f t="shared" si="8"/>
        <v/>
      </c>
      <c r="BJ10" s="24" t="str">
        <f t="shared" si="8"/>
        <v/>
      </c>
      <c r="BK10" s="24" t="str">
        <f t="shared" si="8"/>
        <v/>
      </c>
    </row>
    <row r="11" spans="1:63" s="2" customFormat="1" ht="30" customHeight="1" x14ac:dyDescent="0.25">
      <c r="A11" s="26" t="s">
        <v>40</v>
      </c>
      <c r="B11" s="21" t="s">
        <v>2</v>
      </c>
      <c r="C11" s="21" t="s">
        <v>36</v>
      </c>
      <c r="D11" s="18">
        <v>0.3</v>
      </c>
      <c r="E11" s="19">
        <v>45712</v>
      </c>
      <c r="F11" s="20">
        <v>7</v>
      </c>
      <c r="G11" s="16"/>
      <c r="H11" s="24" t="str">
        <f t="shared" ref="H11:H13" si="9">IF(AND($B11="Goal",H$5&gt;=$E11,H$5&lt;=$E11+$F11-1),2,IF(AND($B11="Milestone",H$5&gt;=$E11,H$5&lt;=$E11+$F11-1),1,""))</f>
        <v/>
      </c>
      <c r="I11" s="24" t="str">
        <f t="shared" si="5"/>
        <v/>
      </c>
      <c r="J11" s="24" t="str">
        <f t="shared" si="5"/>
        <v/>
      </c>
      <c r="K11" s="24" t="str">
        <f t="shared" si="5"/>
        <v/>
      </c>
      <c r="L11" s="24" t="str">
        <f t="shared" si="5"/>
        <v/>
      </c>
      <c r="M11" s="24" t="str">
        <f t="shared" si="5"/>
        <v/>
      </c>
      <c r="N11" s="24" t="str">
        <f t="shared" si="5"/>
        <v/>
      </c>
      <c r="O11" s="24" t="str">
        <f t="shared" si="5"/>
        <v/>
      </c>
      <c r="P11" s="24" t="str">
        <f t="shared" si="5"/>
        <v/>
      </c>
      <c r="Q11" s="24" t="str">
        <f t="shared" si="5"/>
        <v/>
      </c>
      <c r="R11" s="24" t="str">
        <f t="shared" si="5"/>
        <v/>
      </c>
      <c r="S11" s="24" t="str">
        <f t="shared" si="5"/>
        <v/>
      </c>
      <c r="T11" s="24" t="str">
        <f t="shared" si="5"/>
        <v/>
      </c>
      <c r="U11" s="24" t="str">
        <f t="shared" si="5"/>
        <v/>
      </c>
      <c r="V11" s="24" t="str">
        <f t="shared" si="5"/>
        <v/>
      </c>
      <c r="W11" s="24" t="str">
        <f t="shared" si="5"/>
        <v/>
      </c>
      <c r="X11" s="24" t="str">
        <f t="shared" si="6"/>
        <v/>
      </c>
      <c r="Y11" s="24" t="str">
        <f t="shared" si="6"/>
        <v/>
      </c>
      <c r="Z11" s="24" t="str">
        <f t="shared" si="6"/>
        <v/>
      </c>
      <c r="AA11" s="24" t="str">
        <f t="shared" si="6"/>
        <v/>
      </c>
      <c r="AB11" s="24" t="str">
        <f t="shared" si="6"/>
        <v/>
      </c>
      <c r="AC11" s="24" t="str">
        <f t="shared" si="6"/>
        <v/>
      </c>
      <c r="AD11" s="24" t="str">
        <f t="shared" si="6"/>
        <v/>
      </c>
      <c r="AE11" s="24" t="str">
        <f t="shared" si="6"/>
        <v/>
      </c>
      <c r="AF11" s="24" t="str">
        <f t="shared" si="6"/>
        <v/>
      </c>
      <c r="AG11" s="24" t="str">
        <f t="shared" si="6"/>
        <v/>
      </c>
      <c r="AH11" s="24" t="str">
        <f t="shared" si="6"/>
        <v/>
      </c>
      <c r="AI11" s="24" t="str">
        <f t="shared" si="6"/>
        <v/>
      </c>
      <c r="AJ11" s="24" t="str">
        <f t="shared" si="6"/>
        <v/>
      </c>
      <c r="AK11" s="24" t="str">
        <f t="shared" si="6"/>
        <v/>
      </c>
      <c r="AL11" s="24" t="str">
        <f t="shared" si="6"/>
        <v/>
      </c>
      <c r="AM11" s="24" t="str">
        <f t="shared" si="6"/>
        <v/>
      </c>
      <c r="AN11" s="24" t="str">
        <f t="shared" si="7"/>
        <v/>
      </c>
      <c r="AO11" s="24" t="str">
        <f t="shared" si="7"/>
        <v/>
      </c>
      <c r="AP11" s="24" t="str">
        <f t="shared" si="7"/>
        <v/>
      </c>
      <c r="AQ11" s="24" t="str">
        <f t="shared" si="7"/>
        <v/>
      </c>
      <c r="AR11" s="24" t="str">
        <f t="shared" si="7"/>
        <v/>
      </c>
      <c r="AS11" s="24" t="str">
        <f t="shared" si="7"/>
        <v/>
      </c>
      <c r="AT11" s="24" t="str">
        <f t="shared" si="7"/>
        <v/>
      </c>
      <c r="AU11" s="24" t="str">
        <f t="shared" si="7"/>
        <v/>
      </c>
      <c r="AV11" s="24" t="str">
        <f t="shared" si="7"/>
        <v/>
      </c>
      <c r="AW11" s="24" t="str">
        <f t="shared" si="7"/>
        <v/>
      </c>
      <c r="AX11" s="24" t="str">
        <f t="shared" si="7"/>
        <v/>
      </c>
      <c r="AY11" s="24" t="str">
        <f t="shared" si="7"/>
        <v/>
      </c>
      <c r="AZ11" s="24" t="str">
        <f t="shared" si="7"/>
        <v/>
      </c>
      <c r="BA11" s="24" t="str">
        <f t="shared" si="7"/>
        <v/>
      </c>
      <c r="BB11" s="24" t="str">
        <f t="shared" si="7"/>
        <v/>
      </c>
      <c r="BC11" s="24" t="str">
        <f t="shared" si="7"/>
        <v/>
      </c>
      <c r="BD11" s="24" t="str">
        <f t="shared" si="8"/>
        <v/>
      </c>
      <c r="BE11" s="24" t="str">
        <f t="shared" si="8"/>
        <v/>
      </c>
      <c r="BF11" s="24" t="str">
        <f t="shared" si="8"/>
        <v/>
      </c>
      <c r="BG11" s="24" t="str">
        <f t="shared" si="8"/>
        <v/>
      </c>
      <c r="BH11" s="24" t="str">
        <f t="shared" si="8"/>
        <v/>
      </c>
      <c r="BI11" s="24" t="str">
        <f t="shared" si="8"/>
        <v/>
      </c>
      <c r="BJ11" s="24" t="str">
        <f t="shared" si="8"/>
        <v/>
      </c>
      <c r="BK11" s="24" t="str">
        <f t="shared" si="8"/>
        <v/>
      </c>
    </row>
    <row r="12" spans="1:63" s="2" customFormat="1" ht="30" customHeight="1" x14ac:dyDescent="0.25">
      <c r="A12" s="26" t="s">
        <v>41</v>
      </c>
      <c r="B12" s="21" t="s">
        <v>2</v>
      </c>
      <c r="C12" s="21" t="s">
        <v>37</v>
      </c>
      <c r="D12" s="18">
        <v>1</v>
      </c>
      <c r="E12" s="19">
        <v>45712</v>
      </c>
      <c r="F12" s="20">
        <v>7</v>
      </c>
      <c r="G12" s="16"/>
      <c r="H12" s="24" t="str">
        <f t="shared" si="9"/>
        <v/>
      </c>
      <c r="I12" s="24" t="str">
        <f t="shared" si="5"/>
        <v/>
      </c>
      <c r="J12" s="24" t="str">
        <f t="shared" si="5"/>
        <v/>
      </c>
      <c r="K12" s="24" t="str">
        <f t="shared" si="5"/>
        <v/>
      </c>
      <c r="L12" s="24" t="str">
        <f t="shared" si="5"/>
        <v/>
      </c>
      <c r="M12" s="24" t="str">
        <f t="shared" si="5"/>
        <v/>
      </c>
      <c r="N12" s="24" t="str">
        <f t="shared" si="5"/>
        <v/>
      </c>
      <c r="O12" s="24" t="str">
        <f t="shared" si="5"/>
        <v/>
      </c>
      <c r="P12" s="24" t="str">
        <f t="shared" si="5"/>
        <v/>
      </c>
      <c r="Q12" s="24" t="str">
        <f t="shared" si="5"/>
        <v/>
      </c>
      <c r="R12" s="24" t="str">
        <f t="shared" si="5"/>
        <v/>
      </c>
      <c r="S12" s="24" t="str">
        <f t="shared" si="5"/>
        <v/>
      </c>
      <c r="T12" s="24" t="str">
        <f t="shared" si="5"/>
        <v/>
      </c>
      <c r="U12" s="24" t="str">
        <f t="shared" si="5"/>
        <v/>
      </c>
      <c r="V12" s="24" t="str">
        <f t="shared" si="5"/>
        <v/>
      </c>
      <c r="W12" s="24" t="str">
        <f t="shared" si="5"/>
        <v/>
      </c>
      <c r="X12" s="24" t="str">
        <f t="shared" si="6"/>
        <v/>
      </c>
      <c r="Y12" s="24" t="str">
        <f t="shared" si="6"/>
        <v/>
      </c>
      <c r="Z12" s="24" t="str">
        <f t="shared" si="6"/>
        <v/>
      </c>
      <c r="AA12" s="24" t="str">
        <f t="shared" si="6"/>
        <v/>
      </c>
      <c r="AB12" s="24" t="str">
        <f t="shared" si="6"/>
        <v/>
      </c>
      <c r="AC12" s="24" t="str">
        <f t="shared" si="6"/>
        <v/>
      </c>
      <c r="AD12" s="24" t="str">
        <f t="shared" si="6"/>
        <v/>
      </c>
      <c r="AE12" s="24" t="str">
        <f t="shared" si="6"/>
        <v/>
      </c>
      <c r="AF12" s="24" t="str">
        <f t="shared" si="6"/>
        <v/>
      </c>
      <c r="AG12" s="24" t="str">
        <f t="shared" si="6"/>
        <v/>
      </c>
      <c r="AH12" s="24" t="str">
        <f t="shared" si="6"/>
        <v/>
      </c>
      <c r="AI12" s="24" t="str">
        <f t="shared" si="6"/>
        <v/>
      </c>
      <c r="AJ12" s="24" t="str">
        <f t="shared" si="6"/>
        <v/>
      </c>
      <c r="AK12" s="24" t="str">
        <f t="shared" si="6"/>
        <v/>
      </c>
      <c r="AL12" s="24" t="str">
        <f t="shared" si="6"/>
        <v/>
      </c>
      <c r="AM12" s="24" t="str">
        <f t="shared" si="6"/>
        <v/>
      </c>
      <c r="AN12" s="24" t="str">
        <f t="shared" si="7"/>
        <v/>
      </c>
      <c r="AO12" s="24" t="str">
        <f t="shared" si="7"/>
        <v/>
      </c>
      <c r="AP12" s="24" t="str">
        <f t="shared" si="7"/>
        <v/>
      </c>
      <c r="AQ12" s="24" t="str">
        <f t="shared" si="7"/>
        <v/>
      </c>
      <c r="AR12" s="24" t="str">
        <f t="shared" si="7"/>
        <v/>
      </c>
      <c r="AS12" s="24" t="str">
        <f t="shared" si="7"/>
        <v/>
      </c>
      <c r="AT12" s="24" t="str">
        <f t="shared" si="7"/>
        <v/>
      </c>
      <c r="AU12" s="24" t="str">
        <f t="shared" si="7"/>
        <v/>
      </c>
      <c r="AV12" s="24" t="str">
        <f t="shared" si="7"/>
        <v/>
      </c>
      <c r="AW12" s="24" t="str">
        <f t="shared" si="7"/>
        <v/>
      </c>
      <c r="AX12" s="24" t="str">
        <f t="shared" si="7"/>
        <v/>
      </c>
      <c r="AY12" s="24" t="str">
        <f t="shared" si="7"/>
        <v/>
      </c>
      <c r="AZ12" s="24" t="str">
        <f t="shared" si="7"/>
        <v/>
      </c>
      <c r="BA12" s="24" t="str">
        <f t="shared" si="7"/>
        <v/>
      </c>
      <c r="BB12" s="24" t="str">
        <f t="shared" si="7"/>
        <v/>
      </c>
      <c r="BC12" s="24" t="str">
        <f t="shared" si="7"/>
        <v/>
      </c>
      <c r="BD12" s="24" t="str">
        <f t="shared" si="8"/>
        <v/>
      </c>
      <c r="BE12" s="24" t="str">
        <f t="shared" si="8"/>
        <v/>
      </c>
      <c r="BF12" s="24" t="str">
        <f t="shared" si="8"/>
        <v/>
      </c>
      <c r="BG12" s="24" t="str">
        <f t="shared" si="8"/>
        <v/>
      </c>
      <c r="BH12" s="24" t="str">
        <f t="shared" si="8"/>
        <v/>
      </c>
      <c r="BI12" s="24" t="str">
        <f t="shared" si="8"/>
        <v/>
      </c>
      <c r="BJ12" s="24" t="str">
        <f t="shared" si="8"/>
        <v/>
      </c>
      <c r="BK12" s="24" t="str">
        <f t="shared" si="8"/>
        <v/>
      </c>
    </row>
    <row r="13" spans="1:63" s="2" customFormat="1" ht="30" customHeight="1" x14ac:dyDescent="0.25">
      <c r="A13" s="26"/>
      <c r="B13" s="21"/>
      <c r="C13" s="21"/>
      <c r="D13" s="18"/>
      <c r="E13" s="19"/>
      <c r="F13" s="20"/>
      <c r="G13" s="16"/>
      <c r="H13" s="24" t="str">
        <f t="shared" si="9"/>
        <v/>
      </c>
      <c r="I13" s="24" t="str">
        <f t="shared" si="5"/>
        <v/>
      </c>
      <c r="J13" s="24" t="str">
        <f t="shared" si="5"/>
        <v/>
      </c>
      <c r="K13" s="24" t="str">
        <f t="shared" si="5"/>
        <v/>
      </c>
      <c r="L13" s="24" t="str">
        <f t="shared" si="5"/>
        <v/>
      </c>
      <c r="M13" s="24" t="str">
        <f t="shared" si="5"/>
        <v/>
      </c>
      <c r="N13" s="24" t="str">
        <f t="shared" si="5"/>
        <v/>
      </c>
      <c r="O13" s="24" t="str">
        <f t="shared" si="5"/>
        <v/>
      </c>
      <c r="P13" s="24" t="str">
        <f t="shared" si="5"/>
        <v/>
      </c>
      <c r="Q13" s="24" t="str">
        <f t="shared" si="5"/>
        <v/>
      </c>
      <c r="R13" s="24" t="str">
        <f t="shared" si="5"/>
        <v/>
      </c>
      <c r="S13" s="24" t="str">
        <f t="shared" si="5"/>
        <v/>
      </c>
      <c r="T13" s="24" t="str">
        <f t="shared" si="5"/>
        <v/>
      </c>
      <c r="U13" s="24" t="str">
        <f t="shared" si="5"/>
        <v/>
      </c>
      <c r="V13" s="24" t="str">
        <f t="shared" si="5"/>
        <v/>
      </c>
      <c r="W13" s="24" t="str">
        <f t="shared" si="5"/>
        <v/>
      </c>
      <c r="X13" s="24" t="str">
        <f t="shared" si="6"/>
        <v/>
      </c>
      <c r="Y13" s="24" t="str">
        <f t="shared" si="6"/>
        <v/>
      </c>
      <c r="Z13" s="24" t="str">
        <f t="shared" si="6"/>
        <v/>
      </c>
      <c r="AA13" s="24" t="str">
        <f t="shared" si="6"/>
        <v/>
      </c>
      <c r="AB13" s="24" t="str">
        <f t="shared" si="6"/>
        <v/>
      </c>
      <c r="AC13" s="24" t="str">
        <f t="shared" si="6"/>
        <v/>
      </c>
      <c r="AD13" s="24" t="str">
        <f t="shared" si="6"/>
        <v/>
      </c>
      <c r="AE13" s="24" t="str">
        <f t="shared" si="6"/>
        <v/>
      </c>
      <c r="AF13" s="24" t="str">
        <f t="shared" si="6"/>
        <v/>
      </c>
      <c r="AG13" s="24" t="str">
        <f t="shared" si="6"/>
        <v/>
      </c>
      <c r="AH13" s="24" t="str">
        <f t="shared" si="6"/>
        <v/>
      </c>
      <c r="AI13" s="24" t="str">
        <f t="shared" si="6"/>
        <v/>
      </c>
      <c r="AJ13" s="24" t="str">
        <f t="shared" si="6"/>
        <v/>
      </c>
      <c r="AK13" s="24" t="str">
        <f t="shared" si="6"/>
        <v/>
      </c>
      <c r="AL13" s="24" t="str">
        <f t="shared" si="6"/>
        <v/>
      </c>
      <c r="AM13" s="24" t="str">
        <f t="shared" si="6"/>
        <v/>
      </c>
      <c r="AN13" s="24" t="str">
        <f t="shared" si="7"/>
        <v/>
      </c>
      <c r="AO13" s="24" t="str">
        <f t="shared" si="7"/>
        <v/>
      </c>
      <c r="AP13" s="24" t="str">
        <f t="shared" si="7"/>
        <v/>
      </c>
      <c r="AQ13" s="24" t="str">
        <f t="shared" si="7"/>
        <v/>
      </c>
      <c r="AR13" s="24" t="str">
        <f t="shared" si="7"/>
        <v/>
      </c>
      <c r="AS13" s="24" t="str">
        <f t="shared" si="7"/>
        <v/>
      </c>
      <c r="AT13" s="24" t="str">
        <f t="shared" si="7"/>
        <v/>
      </c>
      <c r="AU13" s="24" t="str">
        <f t="shared" si="7"/>
        <v/>
      </c>
      <c r="AV13" s="24" t="str">
        <f t="shared" si="7"/>
        <v/>
      </c>
      <c r="AW13" s="24" t="str">
        <f t="shared" si="7"/>
        <v/>
      </c>
      <c r="AX13" s="24" t="str">
        <f t="shared" si="7"/>
        <v/>
      </c>
      <c r="AY13" s="24" t="str">
        <f t="shared" si="7"/>
        <v/>
      </c>
      <c r="AZ13" s="24" t="str">
        <f t="shared" si="7"/>
        <v/>
      </c>
      <c r="BA13" s="24" t="str">
        <f t="shared" si="7"/>
        <v/>
      </c>
      <c r="BB13" s="24" t="str">
        <f t="shared" si="7"/>
        <v/>
      </c>
      <c r="BC13" s="24" t="str">
        <f t="shared" si="7"/>
        <v/>
      </c>
      <c r="BD13" s="24" t="str">
        <f t="shared" si="8"/>
        <v/>
      </c>
      <c r="BE13" s="24" t="str">
        <f t="shared" si="8"/>
        <v/>
      </c>
      <c r="BF13" s="24" t="str">
        <f t="shared" si="8"/>
        <v/>
      </c>
      <c r="BG13" s="24" t="str">
        <f t="shared" si="8"/>
        <v/>
      </c>
      <c r="BH13" s="24" t="str">
        <f t="shared" si="8"/>
        <v/>
      </c>
      <c r="BI13" s="24" t="str">
        <f t="shared" si="8"/>
        <v/>
      </c>
      <c r="BJ13" s="24" t="str">
        <f t="shared" si="8"/>
        <v/>
      </c>
      <c r="BK13" s="24" t="str">
        <f t="shared" si="8"/>
        <v/>
      </c>
    </row>
    <row r="14" spans="1:63" s="2" customFormat="1" ht="30" customHeight="1" x14ac:dyDescent="0.25">
      <c r="A14" s="27" t="s">
        <v>42</v>
      </c>
      <c r="B14" s="21"/>
      <c r="C14" s="21"/>
      <c r="D14" s="18"/>
      <c r="E14" s="19"/>
      <c r="F14" s="20"/>
      <c r="G14" s="16"/>
      <c r="H14" s="24" t="str">
        <f t="shared" ref="H14:Q17" si="10">IF(AND($B14="Goal",H$5&gt;=$E14,H$5&lt;=$E14+$F14-1),2,IF(AND($B14="Milestone",H$5&gt;=$E14,H$5&lt;=$E14+$F14-1),1,""))</f>
        <v/>
      </c>
      <c r="I14" s="24" t="str">
        <f t="shared" si="10"/>
        <v/>
      </c>
      <c r="J14" s="24" t="str">
        <f t="shared" si="10"/>
        <v/>
      </c>
      <c r="K14" s="24" t="str">
        <f t="shared" si="10"/>
        <v/>
      </c>
      <c r="L14" s="24" t="str">
        <f t="shared" si="10"/>
        <v/>
      </c>
      <c r="M14" s="24" t="str">
        <f t="shared" si="10"/>
        <v/>
      </c>
      <c r="N14" s="24" t="str">
        <f t="shared" si="10"/>
        <v/>
      </c>
      <c r="O14" s="24" t="str">
        <f t="shared" si="10"/>
        <v/>
      </c>
      <c r="P14" s="24" t="str">
        <f t="shared" si="10"/>
        <v/>
      </c>
      <c r="Q14" s="24" t="str">
        <f t="shared" si="10"/>
        <v/>
      </c>
      <c r="R14" s="24" t="str">
        <f t="shared" ref="R14:AA17" si="11">IF(AND($B14="Goal",R$5&gt;=$E14,R$5&lt;=$E14+$F14-1),2,IF(AND($B14="Milestone",R$5&gt;=$E14,R$5&lt;=$E14+$F14-1),1,""))</f>
        <v/>
      </c>
      <c r="S14" s="24" t="str">
        <f t="shared" si="11"/>
        <v/>
      </c>
      <c r="T14" s="24" t="str">
        <f t="shared" si="11"/>
        <v/>
      </c>
      <c r="U14" s="24" t="str">
        <f t="shared" si="11"/>
        <v/>
      </c>
      <c r="V14" s="24" t="str">
        <f t="shared" si="11"/>
        <v/>
      </c>
      <c r="W14" s="24" t="str">
        <f t="shared" si="11"/>
        <v/>
      </c>
      <c r="X14" s="24" t="str">
        <f t="shared" si="11"/>
        <v/>
      </c>
      <c r="Y14" s="24" t="str">
        <f t="shared" si="11"/>
        <v/>
      </c>
      <c r="Z14" s="24" t="str">
        <f t="shared" si="11"/>
        <v/>
      </c>
      <c r="AA14" s="24" t="str">
        <f t="shared" si="11"/>
        <v/>
      </c>
      <c r="AB14" s="24" t="str">
        <f t="shared" ref="AB14:AK17" si="12">IF(AND($B14="Goal",AB$5&gt;=$E14,AB$5&lt;=$E14+$F14-1),2,IF(AND($B14="Milestone",AB$5&gt;=$E14,AB$5&lt;=$E14+$F14-1),1,""))</f>
        <v/>
      </c>
      <c r="AC14" s="24" t="str">
        <f t="shared" si="12"/>
        <v/>
      </c>
      <c r="AD14" s="24" t="str">
        <f t="shared" si="12"/>
        <v/>
      </c>
      <c r="AE14" s="24" t="str">
        <f t="shared" si="12"/>
        <v/>
      </c>
      <c r="AF14" s="24" t="str">
        <f t="shared" si="12"/>
        <v/>
      </c>
      <c r="AG14" s="24" t="str">
        <f t="shared" si="12"/>
        <v/>
      </c>
      <c r="AH14" s="24" t="str">
        <f t="shared" si="12"/>
        <v/>
      </c>
      <c r="AI14" s="24" t="str">
        <f t="shared" si="12"/>
        <v/>
      </c>
      <c r="AJ14" s="24" t="str">
        <f t="shared" si="12"/>
        <v/>
      </c>
      <c r="AK14" s="24" t="str">
        <f t="shared" si="12"/>
        <v/>
      </c>
      <c r="AL14" s="24" t="str">
        <f t="shared" ref="AL14:AU17" si="13">IF(AND($B14="Goal",AL$5&gt;=$E14,AL$5&lt;=$E14+$F14-1),2,IF(AND($B14="Milestone",AL$5&gt;=$E14,AL$5&lt;=$E14+$F14-1),1,""))</f>
        <v/>
      </c>
      <c r="AM14" s="24" t="str">
        <f t="shared" si="13"/>
        <v/>
      </c>
      <c r="AN14" s="24" t="str">
        <f t="shared" si="13"/>
        <v/>
      </c>
      <c r="AO14" s="24" t="str">
        <f t="shared" si="13"/>
        <v/>
      </c>
      <c r="AP14" s="24" t="str">
        <f t="shared" si="13"/>
        <v/>
      </c>
      <c r="AQ14" s="24" t="str">
        <f t="shared" si="13"/>
        <v/>
      </c>
      <c r="AR14" s="24" t="str">
        <f t="shared" si="13"/>
        <v/>
      </c>
      <c r="AS14" s="24" t="str">
        <f t="shared" si="13"/>
        <v/>
      </c>
      <c r="AT14" s="24" t="str">
        <f t="shared" si="13"/>
        <v/>
      </c>
      <c r="AU14" s="24" t="str">
        <f t="shared" si="13"/>
        <v/>
      </c>
      <c r="AV14" s="24" t="str">
        <f t="shared" ref="AV14:BE17" si="14">IF(AND($B14="Goal",AV$5&gt;=$E14,AV$5&lt;=$E14+$F14-1),2,IF(AND($B14="Milestone",AV$5&gt;=$E14,AV$5&lt;=$E14+$F14-1),1,""))</f>
        <v/>
      </c>
      <c r="AW14" s="24" t="str">
        <f t="shared" si="14"/>
        <v/>
      </c>
      <c r="AX14" s="24" t="str">
        <f t="shared" si="14"/>
        <v/>
      </c>
      <c r="AY14" s="24" t="str">
        <f t="shared" si="14"/>
        <v/>
      </c>
      <c r="AZ14" s="24" t="str">
        <f t="shared" si="14"/>
        <v/>
      </c>
      <c r="BA14" s="24" t="str">
        <f t="shared" si="14"/>
        <v/>
      </c>
      <c r="BB14" s="24" t="str">
        <f t="shared" si="14"/>
        <v/>
      </c>
      <c r="BC14" s="24" t="str">
        <f t="shared" si="14"/>
        <v/>
      </c>
      <c r="BD14" s="24" t="str">
        <f t="shared" si="14"/>
        <v/>
      </c>
      <c r="BE14" s="24" t="str">
        <f t="shared" si="14"/>
        <v/>
      </c>
      <c r="BF14" s="24" t="str">
        <f t="shared" ref="BF14:BK17" si="15">IF(AND($B14="Goal",BF$5&gt;=$E14,BF$5&lt;=$E14+$F14-1),2,IF(AND($B14="Milestone",BF$5&gt;=$E14,BF$5&lt;=$E14+$F14-1),1,""))</f>
        <v/>
      </c>
      <c r="BG14" s="24" t="str">
        <f t="shared" si="15"/>
        <v/>
      </c>
      <c r="BH14" s="24" t="str">
        <f t="shared" si="15"/>
        <v/>
      </c>
      <c r="BI14" s="24" t="str">
        <f t="shared" si="15"/>
        <v/>
      </c>
      <c r="BJ14" s="24" t="str">
        <f t="shared" si="15"/>
        <v/>
      </c>
      <c r="BK14" s="24" t="str">
        <f t="shared" si="15"/>
        <v/>
      </c>
    </row>
    <row r="15" spans="1:63" s="2" customFormat="1" ht="30" customHeight="1" x14ac:dyDescent="0.25">
      <c r="A15" s="26" t="s">
        <v>29</v>
      </c>
      <c r="B15" s="21" t="s">
        <v>3</v>
      </c>
      <c r="C15" s="21"/>
      <c r="D15" s="18">
        <v>0.25</v>
      </c>
      <c r="E15" s="19">
        <v>45530</v>
      </c>
      <c r="F15" s="20">
        <v>2</v>
      </c>
      <c r="G15" s="16"/>
      <c r="H15" s="24" t="str">
        <f t="shared" si="10"/>
        <v/>
      </c>
      <c r="I15" s="24" t="str">
        <f t="shared" si="10"/>
        <v/>
      </c>
      <c r="J15" s="24" t="str">
        <f t="shared" si="10"/>
        <v/>
      </c>
      <c r="K15" s="24" t="str">
        <f t="shared" si="10"/>
        <v/>
      </c>
      <c r="L15" s="24" t="str">
        <f t="shared" si="10"/>
        <v/>
      </c>
      <c r="M15" s="24" t="str">
        <f t="shared" si="10"/>
        <v/>
      </c>
      <c r="N15" s="24" t="str">
        <f t="shared" si="10"/>
        <v/>
      </c>
      <c r="O15" s="24" t="str">
        <f t="shared" si="10"/>
        <v/>
      </c>
      <c r="P15" s="24" t="str">
        <f t="shared" si="10"/>
        <v/>
      </c>
      <c r="Q15" s="24" t="str">
        <f t="shared" si="10"/>
        <v/>
      </c>
      <c r="R15" s="24" t="str">
        <f t="shared" si="11"/>
        <v/>
      </c>
      <c r="S15" s="24" t="str">
        <f t="shared" si="11"/>
        <v/>
      </c>
      <c r="T15" s="24" t="str">
        <f t="shared" si="11"/>
        <v/>
      </c>
      <c r="U15" s="24" t="str">
        <f t="shared" si="11"/>
        <v/>
      </c>
      <c r="V15" s="24" t="str">
        <f t="shared" si="11"/>
        <v/>
      </c>
      <c r="W15" s="24" t="str">
        <f t="shared" si="11"/>
        <v/>
      </c>
      <c r="X15" s="24" t="str">
        <f t="shared" si="11"/>
        <v/>
      </c>
      <c r="Y15" s="24" t="str">
        <f t="shared" si="11"/>
        <v/>
      </c>
      <c r="Z15" s="24" t="str">
        <f t="shared" si="11"/>
        <v/>
      </c>
      <c r="AA15" s="24" t="str">
        <f t="shared" si="11"/>
        <v/>
      </c>
      <c r="AB15" s="24" t="str">
        <f t="shared" si="12"/>
        <v/>
      </c>
      <c r="AC15" s="24" t="str">
        <f t="shared" si="12"/>
        <v/>
      </c>
      <c r="AD15" s="24" t="str">
        <f t="shared" si="12"/>
        <v/>
      </c>
      <c r="AE15" s="24" t="str">
        <f t="shared" si="12"/>
        <v/>
      </c>
      <c r="AF15" s="24" t="str">
        <f t="shared" si="12"/>
        <v/>
      </c>
      <c r="AG15" s="24" t="str">
        <f t="shared" si="12"/>
        <v/>
      </c>
      <c r="AH15" s="24" t="str">
        <f t="shared" si="12"/>
        <v/>
      </c>
      <c r="AI15" s="24" t="str">
        <f t="shared" si="12"/>
        <v/>
      </c>
      <c r="AJ15" s="24" t="str">
        <f t="shared" si="12"/>
        <v/>
      </c>
      <c r="AK15" s="24" t="str">
        <f t="shared" si="12"/>
        <v/>
      </c>
      <c r="AL15" s="24" t="str">
        <f t="shared" si="13"/>
        <v/>
      </c>
      <c r="AM15" s="24" t="str">
        <f t="shared" si="13"/>
        <v/>
      </c>
      <c r="AN15" s="24" t="str">
        <f t="shared" si="13"/>
        <v/>
      </c>
      <c r="AO15" s="24" t="str">
        <f t="shared" si="13"/>
        <v/>
      </c>
      <c r="AP15" s="24" t="str">
        <f t="shared" si="13"/>
        <v/>
      </c>
      <c r="AQ15" s="24" t="str">
        <f t="shared" si="13"/>
        <v/>
      </c>
      <c r="AR15" s="24" t="str">
        <f t="shared" si="13"/>
        <v/>
      </c>
      <c r="AS15" s="24" t="str">
        <f t="shared" si="13"/>
        <v/>
      </c>
      <c r="AT15" s="24" t="str">
        <f t="shared" si="13"/>
        <v/>
      </c>
      <c r="AU15" s="24" t="str">
        <f t="shared" si="13"/>
        <v/>
      </c>
      <c r="AV15" s="24" t="str">
        <f t="shared" si="14"/>
        <v/>
      </c>
      <c r="AW15" s="24" t="str">
        <f t="shared" si="14"/>
        <v/>
      </c>
      <c r="AX15" s="24" t="str">
        <f t="shared" si="14"/>
        <v/>
      </c>
      <c r="AY15" s="24" t="str">
        <f t="shared" si="14"/>
        <v/>
      </c>
      <c r="AZ15" s="24" t="str">
        <f t="shared" si="14"/>
        <v/>
      </c>
      <c r="BA15" s="24" t="str">
        <f t="shared" si="14"/>
        <v/>
      </c>
      <c r="BB15" s="24" t="str">
        <f t="shared" si="14"/>
        <v/>
      </c>
      <c r="BC15" s="24" t="str">
        <f t="shared" si="14"/>
        <v/>
      </c>
      <c r="BD15" s="24" t="str">
        <f t="shared" si="14"/>
        <v/>
      </c>
      <c r="BE15" s="24" t="str">
        <f t="shared" si="14"/>
        <v/>
      </c>
      <c r="BF15" s="24" t="str">
        <f t="shared" si="15"/>
        <v/>
      </c>
      <c r="BG15" s="24" t="str">
        <f t="shared" si="15"/>
        <v/>
      </c>
      <c r="BH15" s="24" t="str">
        <f t="shared" si="15"/>
        <v/>
      </c>
      <c r="BI15" s="24" t="str">
        <f t="shared" si="15"/>
        <v/>
      </c>
      <c r="BJ15" s="24" t="str">
        <f t="shared" si="15"/>
        <v/>
      </c>
      <c r="BK15" s="24" t="str">
        <f t="shared" si="15"/>
        <v/>
      </c>
    </row>
    <row r="16" spans="1:63" s="2" customFormat="1" ht="30" customHeight="1" x14ac:dyDescent="0.25">
      <c r="A16" s="26" t="s">
        <v>30</v>
      </c>
      <c r="B16" s="21" t="s">
        <v>3</v>
      </c>
      <c r="C16" s="21"/>
      <c r="D16" s="18">
        <v>0</v>
      </c>
      <c r="E16" s="19">
        <v>45530</v>
      </c>
      <c r="F16" s="20"/>
      <c r="G16" s="16"/>
      <c r="H16" s="24" t="str">
        <f t="shared" si="10"/>
        <v/>
      </c>
      <c r="I16" s="24" t="str">
        <f t="shared" si="10"/>
        <v/>
      </c>
      <c r="J16" s="24" t="str">
        <f t="shared" si="10"/>
        <v/>
      </c>
      <c r="K16" s="24" t="str">
        <f t="shared" si="10"/>
        <v/>
      </c>
      <c r="L16" s="24" t="str">
        <f t="shared" si="10"/>
        <v/>
      </c>
      <c r="M16" s="24" t="str">
        <f t="shared" si="10"/>
        <v/>
      </c>
      <c r="N16" s="24" t="str">
        <f t="shared" si="10"/>
        <v/>
      </c>
      <c r="O16" s="24" t="str">
        <f t="shared" si="10"/>
        <v/>
      </c>
      <c r="P16" s="24" t="str">
        <f t="shared" si="10"/>
        <v/>
      </c>
      <c r="Q16" s="24" t="str">
        <f t="shared" si="10"/>
        <v/>
      </c>
      <c r="R16" s="24" t="str">
        <f t="shared" si="11"/>
        <v/>
      </c>
      <c r="S16" s="24" t="str">
        <f t="shared" si="11"/>
        <v/>
      </c>
      <c r="T16" s="24" t="str">
        <f t="shared" si="11"/>
        <v/>
      </c>
      <c r="U16" s="24" t="str">
        <f t="shared" si="11"/>
        <v/>
      </c>
      <c r="V16" s="24" t="str">
        <f t="shared" si="11"/>
        <v/>
      </c>
      <c r="W16" s="24" t="str">
        <f t="shared" si="11"/>
        <v/>
      </c>
      <c r="X16" s="24" t="str">
        <f t="shared" si="11"/>
        <v/>
      </c>
      <c r="Y16" s="24" t="str">
        <f t="shared" si="11"/>
        <v/>
      </c>
      <c r="Z16" s="24" t="str">
        <f t="shared" si="11"/>
        <v/>
      </c>
      <c r="AA16" s="24" t="str">
        <f t="shared" si="11"/>
        <v/>
      </c>
      <c r="AB16" s="24" t="str">
        <f t="shared" si="12"/>
        <v/>
      </c>
      <c r="AC16" s="24" t="str">
        <f t="shared" si="12"/>
        <v/>
      </c>
      <c r="AD16" s="24" t="str">
        <f t="shared" si="12"/>
        <v/>
      </c>
      <c r="AE16" s="24" t="str">
        <f t="shared" si="12"/>
        <v/>
      </c>
      <c r="AF16" s="24" t="str">
        <f t="shared" si="12"/>
        <v/>
      </c>
      <c r="AG16" s="24" t="str">
        <f t="shared" si="12"/>
        <v/>
      </c>
      <c r="AH16" s="24" t="str">
        <f t="shared" si="12"/>
        <v/>
      </c>
      <c r="AI16" s="24" t="str">
        <f t="shared" si="12"/>
        <v/>
      </c>
      <c r="AJ16" s="24" t="str">
        <f t="shared" si="12"/>
        <v/>
      </c>
      <c r="AK16" s="24" t="str">
        <f t="shared" si="12"/>
        <v/>
      </c>
      <c r="AL16" s="24" t="str">
        <f t="shared" si="13"/>
        <v/>
      </c>
      <c r="AM16" s="24" t="str">
        <f t="shared" si="13"/>
        <v/>
      </c>
      <c r="AN16" s="24" t="str">
        <f t="shared" si="13"/>
        <v/>
      </c>
      <c r="AO16" s="24" t="str">
        <f t="shared" si="13"/>
        <v/>
      </c>
      <c r="AP16" s="24" t="str">
        <f t="shared" si="13"/>
        <v/>
      </c>
      <c r="AQ16" s="24" t="str">
        <f t="shared" si="13"/>
        <v/>
      </c>
      <c r="AR16" s="24" t="str">
        <f t="shared" si="13"/>
        <v/>
      </c>
      <c r="AS16" s="24" t="str">
        <f t="shared" si="13"/>
        <v/>
      </c>
      <c r="AT16" s="24" t="str">
        <f t="shared" si="13"/>
        <v/>
      </c>
      <c r="AU16" s="24" t="str">
        <f t="shared" si="13"/>
        <v/>
      </c>
      <c r="AV16" s="24" t="str">
        <f t="shared" si="14"/>
        <v/>
      </c>
      <c r="AW16" s="24" t="str">
        <f t="shared" si="14"/>
        <v/>
      </c>
      <c r="AX16" s="24" t="str">
        <f t="shared" si="14"/>
        <v/>
      </c>
      <c r="AY16" s="24" t="str">
        <f t="shared" si="14"/>
        <v/>
      </c>
      <c r="AZ16" s="24" t="str">
        <f t="shared" si="14"/>
        <v/>
      </c>
      <c r="BA16" s="24" t="str">
        <f t="shared" si="14"/>
        <v/>
      </c>
      <c r="BB16" s="24" t="str">
        <f t="shared" si="14"/>
        <v/>
      </c>
      <c r="BC16" s="24" t="str">
        <f t="shared" si="14"/>
        <v/>
      </c>
      <c r="BD16" s="24" t="str">
        <f t="shared" si="14"/>
        <v/>
      </c>
      <c r="BE16" s="24" t="str">
        <f t="shared" si="14"/>
        <v/>
      </c>
      <c r="BF16" s="24" t="str">
        <f t="shared" si="15"/>
        <v/>
      </c>
      <c r="BG16" s="24" t="str">
        <f t="shared" si="15"/>
        <v/>
      </c>
      <c r="BH16" s="24" t="str">
        <f t="shared" si="15"/>
        <v/>
      </c>
      <c r="BI16" s="24" t="str">
        <f t="shared" si="15"/>
        <v/>
      </c>
      <c r="BJ16" s="24" t="str">
        <f t="shared" si="15"/>
        <v/>
      </c>
      <c r="BK16" s="24" t="str">
        <f t="shared" si="15"/>
        <v/>
      </c>
    </row>
    <row r="17" spans="1:63" s="2" customFormat="1" ht="30" customHeight="1" x14ac:dyDescent="0.25">
      <c r="A17" s="26" t="s">
        <v>31</v>
      </c>
      <c r="B17" s="21" t="s">
        <v>3</v>
      </c>
      <c r="C17" s="21"/>
      <c r="D17" s="18">
        <v>0</v>
      </c>
      <c r="E17" s="19">
        <v>45530</v>
      </c>
      <c r="F17" s="20">
        <v>0</v>
      </c>
      <c r="G17" s="16"/>
      <c r="H17" s="24" t="str">
        <f t="shared" si="10"/>
        <v/>
      </c>
      <c r="I17" s="24" t="str">
        <f t="shared" si="10"/>
        <v/>
      </c>
      <c r="J17" s="24" t="str">
        <f t="shared" si="10"/>
        <v/>
      </c>
      <c r="K17" s="24" t="str">
        <f t="shared" si="10"/>
        <v/>
      </c>
      <c r="L17" s="24" t="str">
        <f t="shared" si="10"/>
        <v/>
      </c>
      <c r="M17" s="24" t="str">
        <f t="shared" si="10"/>
        <v/>
      </c>
      <c r="N17" s="24" t="str">
        <f t="shared" si="10"/>
        <v/>
      </c>
      <c r="O17" s="24" t="str">
        <f t="shared" si="10"/>
        <v/>
      </c>
      <c r="P17" s="24" t="str">
        <f t="shared" si="10"/>
        <v/>
      </c>
      <c r="Q17" s="24" t="str">
        <f t="shared" si="10"/>
        <v/>
      </c>
      <c r="R17" s="24" t="str">
        <f t="shared" si="11"/>
        <v/>
      </c>
      <c r="S17" s="24" t="str">
        <f t="shared" si="11"/>
        <v/>
      </c>
      <c r="T17" s="24" t="str">
        <f t="shared" si="11"/>
        <v/>
      </c>
      <c r="U17" s="24" t="str">
        <f t="shared" si="11"/>
        <v/>
      </c>
      <c r="V17" s="24" t="str">
        <f t="shared" si="11"/>
        <v/>
      </c>
      <c r="W17" s="24" t="str">
        <f t="shared" si="11"/>
        <v/>
      </c>
      <c r="X17" s="24" t="str">
        <f t="shared" si="11"/>
        <v/>
      </c>
      <c r="Y17" s="24" t="str">
        <f t="shared" si="11"/>
        <v/>
      </c>
      <c r="Z17" s="24" t="str">
        <f t="shared" si="11"/>
        <v/>
      </c>
      <c r="AA17" s="24" t="str">
        <f t="shared" si="11"/>
        <v/>
      </c>
      <c r="AB17" s="24" t="str">
        <f t="shared" si="12"/>
        <v/>
      </c>
      <c r="AC17" s="24" t="str">
        <f t="shared" si="12"/>
        <v/>
      </c>
      <c r="AD17" s="24" t="str">
        <f t="shared" si="12"/>
        <v/>
      </c>
      <c r="AE17" s="24" t="str">
        <f t="shared" si="12"/>
        <v/>
      </c>
      <c r="AF17" s="24" t="str">
        <f t="shared" si="12"/>
        <v/>
      </c>
      <c r="AG17" s="24" t="str">
        <f t="shared" si="12"/>
        <v/>
      </c>
      <c r="AH17" s="24" t="str">
        <f t="shared" si="12"/>
        <v/>
      </c>
      <c r="AI17" s="24" t="str">
        <f t="shared" si="12"/>
        <v/>
      </c>
      <c r="AJ17" s="24" t="str">
        <f t="shared" si="12"/>
        <v/>
      </c>
      <c r="AK17" s="24" t="str">
        <f t="shared" si="12"/>
        <v/>
      </c>
      <c r="AL17" s="24" t="str">
        <f t="shared" si="13"/>
        <v/>
      </c>
      <c r="AM17" s="24" t="str">
        <f t="shared" si="13"/>
        <v/>
      </c>
      <c r="AN17" s="24" t="str">
        <f t="shared" si="13"/>
        <v/>
      </c>
      <c r="AO17" s="24" t="str">
        <f t="shared" si="13"/>
        <v/>
      </c>
      <c r="AP17" s="24" t="str">
        <f t="shared" si="13"/>
        <v/>
      </c>
      <c r="AQ17" s="24" t="str">
        <f t="shared" si="13"/>
        <v/>
      </c>
      <c r="AR17" s="24" t="str">
        <f t="shared" si="13"/>
        <v/>
      </c>
      <c r="AS17" s="24" t="str">
        <f t="shared" si="13"/>
        <v/>
      </c>
      <c r="AT17" s="24" t="str">
        <f t="shared" si="13"/>
        <v/>
      </c>
      <c r="AU17" s="24" t="str">
        <f t="shared" si="13"/>
        <v/>
      </c>
      <c r="AV17" s="24" t="str">
        <f t="shared" si="14"/>
        <v/>
      </c>
      <c r="AW17" s="24" t="str">
        <f t="shared" si="14"/>
        <v/>
      </c>
      <c r="AX17" s="24" t="str">
        <f t="shared" si="14"/>
        <v/>
      </c>
      <c r="AY17" s="24" t="str">
        <f t="shared" si="14"/>
        <v/>
      </c>
      <c r="AZ17" s="24" t="str">
        <f t="shared" si="14"/>
        <v/>
      </c>
      <c r="BA17" s="24" t="str">
        <f t="shared" si="14"/>
        <v/>
      </c>
      <c r="BB17" s="24" t="str">
        <f t="shared" si="14"/>
        <v/>
      </c>
      <c r="BC17" s="24" t="str">
        <f t="shared" si="14"/>
        <v/>
      </c>
      <c r="BD17" s="24" t="str">
        <f t="shared" si="14"/>
        <v/>
      </c>
      <c r="BE17" s="24" t="str">
        <f t="shared" si="14"/>
        <v/>
      </c>
      <c r="BF17" s="24" t="str">
        <f t="shared" si="15"/>
        <v/>
      </c>
      <c r="BG17" s="24" t="str">
        <f t="shared" si="15"/>
        <v/>
      </c>
      <c r="BH17" s="24" t="str">
        <f t="shared" si="15"/>
        <v/>
      </c>
      <c r="BI17" s="24" t="str">
        <f t="shared" si="15"/>
        <v/>
      </c>
      <c r="BJ17" s="24" t="str">
        <f t="shared" si="15"/>
        <v/>
      </c>
      <c r="BK17" s="24" t="str">
        <f t="shared" si="15"/>
        <v/>
      </c>
    </row>
    <row r="18" spans="1:63" s="2" customFormat="1" ht="30" customHeight="1" x14ac:dyDescent="0.25">
      <c r="A18" s="27" t="s">
        <v>43</v>
      </c>
      <c r="B18" s="21"/>
      <c r="C18" s="21"/>
      <c r="D18" s="18"/>
      <c r="E18" s="19"/>
      <c r="F18" s="20"/>
      <c r="G18" s="16"/>
      <c r="H18" s="24" t="str">
        <f t="shared" ref="H18:Q19" si="16">IF(AND($B19="Goal",H$5&gt;=$E19,H$5&lt;=$E19+$F19-1),2,IF(AND($B19="Milestone",H$5&gt;=$E19,H$5&lt;=$E19+$F19-1),1,""))</f>
        <v/>
      </c>
      <c r="I18" s="24" t="str">
        <f t="shared" si="16"/>
        <v/>
      </c>
      <c r="J18" s="24" t="str">
        <f t="shared" si="16"/>
        <v/>
      </c>
      <c r="K18" s="24" t="str">
        <f t="shared" si="16"/>
        <v/>
      </c>
      <c r="L18" s="24" t="str">
        <f t="shared" si="16"/>
        <v/>
      </c>
      <c r="M18" s="24" t="str">
        <f t="shared" si="16"/>
        <v/>
      </c>
      <c r="N18" s="24" t="str">
        <f t="shared" si="16"/>
        <v/>
      </c>
      <c r="O18" s="24" t="str">
        <f t="shared" si="16"/>
        <v/>
      </c>
      <c r="P18" s="24" t="str">
        <f t="shared" si="16"/>
        <v/>
      </c>
      <c r="Q18" s="24" t="str">
        <f t="shared" si="16"/>
        <v/>
      </c>
      <c r="R18" s="24" t="str">
        <f t="shared" ref="R18:AA19" si="17">IF(AND($B19="Goal",R$5&gt;=$E19,R$5&lt;=$E19+$F19-1),2,IF(AND($B19="Milestone",R$5&gt;=$E19,R$5&lt;=$E19+$F19-1),1,""))</f>
        <v/>
      </c>
      <c r="S18" s="24" t="str">
        <f t="shared" si="17"/>
        <v/>
      </c>
      <c r="T18" s="24" t="str">
        <f t="shared" si="17"/>
        <v/>
      </c>
      <c r="U18" s="24" t="str">
        <f t="shared" si="17"/>
        <v/>
      </c>
      <c r="V18" s="24" t="str">
        <f t="shared" si="17"/>
        <v/>
      </c>
      <c r="W18" s="24" t="str">
        <f t="shared" si="17"/>
        <v/>
      </c>
      <c r="X18" s="24" t="str">
        <f t="shared" si="17"/>
        <v/>
      </c>
      <c r="Y18" s="24" t="str">
        <f t="shared" si="17"/>
        <v/>
      </c>
      <c r="Z18" s="24" t="str">
        <f t="shared" si="17"/>
        <v/>
      </c>
      <c r="AA18" s="24" t="str">
        <f t="shared" si="17"/>
        <v/>
      </c>
      <c r="AB18" s="24" t="str">
        <f t="shared" ref="AB18:AK19" si="18">IF(AND($B19="Goal",AB$5&gt;=$E19,AB$5&lt;=$E19+$F19-1),2,IF(AND($B19="Milestone",AB$5&gt;=$E19,AB$5&lt;=$E19+$F19-1),1,""))</f>
        <v/>
      </c>
      <c r="AC18" s="24" t="str">
        <f t="shared" si="18"/>
        <v/>
      </c>
      <c r="AD18" s="24" t="str">
        <f t="shared" si="18"/>
        <v/>
      </c>
      <c r="AE18" s="24" t="str">
        <f t="shared" si="18"/>
        <v/>
      </c>
      <c r="AF18" s="24" t="str">
        <f t="shared" si="18"/>
        <v/>
      </c>
      <c r="AG18" s="24" t="str">
        <f t="shared" si="18"/>
        <v/>
      </c>
      <c r="AH18" s="24" t="str">
        <f t="shared" si="18"/>
        <v/>
      </c>
      <c r="AI18" s="24" t="str">
        <f t="shared" si="18"/>
        <v/>
      </c>
      <c r="AJ18" s="24" t="str">
        <f t="shared" si="18"/>
        <v/>
      </c>
      <c r="AK18" s="24" t="str">
        <f t="shared" si="18"/>
        <v/>
      </c>
      <c r="AL18" s="24" t="str">
        <f t="shared" ref="AL18:AU19" si="19">IF(AND($B19="Goal",AL$5&gt;=$E19,AL$5&lt;=$E19+$F19-1),2,IF(AND($B19="Milestone",AL$5&gt;=$E19,AL$5&lt;=$E19+$F19-1),1,""))</f>
        <v/>
      </c>
      <c r="AM18" s="24" t="str">
        <f t="shared" si="19"/>
        <v/>
      </c>
      <c r="AN18" s="24" t="str">
        <f t="shared" si="19"/>
        <v/>
      </c>
      <c r="AO18" s="24" t="str">
        <f t="shared" si="19"/>
        <v/>
      </c>
      <c r="AP18" s="24" t="str">
        <f t="shared" si="19"/>
        <v/>
      </c>
      <c r="AQ18" s="24" t="str">
        <f t="shared" si="19"/>
        <v/>
      </c>
      <c r="AR18" s="24" t="str">
        <f t="shared" si="19"/>
        <v/>
      </c>
      <c r="AS18" s="24" t="str">
        <f t="shared" si="19"/>
        <v/>
      </c>
      <c r="AT18" s="24" t="str">
        <f t="shared" si="19"/>
        <v/>
      </c>
      <c r="AU18" s="24" t="str">
        <f t="shared" si="19"/>
        <v/>
      </c>
      <c r="AV18" s="24" t="str">
        <f t="shared" ref="AV18:BE19" si="20">IF(AND($B19="Goal",AV$5&gt;=$E19,AV$5&lt;=$E19+$F19-1),2,IF(AND($B19="Milestone",AV$5&gt;=$E19,AV$5&lt;=$E19+$F19-1),1,""))</f>
        <v/>
      </c>
      <c r="AW18" s="24" t="str">
        <f t="shared" si="20"/>
        <v/>
      </c>
      <c r="AX18" s="24" t="str">
        <f t="shared" si="20"/>
        <v/>
      </c>
      <c r="AY18" s="24" t="str">
        <f t="shared" si="20"/>
        <v/>
      </c>
      <c r="AZ18" s="24" t="str">
        <f t="shared" si="20"/>
        <v/>
      </c>
      <c r="BA18" s="24" t="str">
        <f t="shared" si="20"/>
        <v/>
      </c>
      <c r="BB18" s="24" t="str">
        <f t="shared" si="20"/>
        <v/>
      </c>
      <c r="BC18" s="24" t="str">
        <f t="shared" si="20"/>
        <v/>
      </c>
      <c r="BD18" s="24" t="str">
        <f t="shared" si="20"/>
        <v/>
      </c>
      <c r="BE18" s="24" t="str">
        <f t="shared" si="20"/>
        <v/>
      </c>
      <c r="BF18" s="24" t="str">
        <f t="shared" ref="BF18:BK19" si="21">IF(AND($B19="Goal",BF$5&gt;=$E19,BF$5&lt;=$E19+$F19-1),2,IF(AND($B19="Milestone",BF$5&gt;=$E19,BF$5&lt;=$E19+$F19-1),1,""))</f>
        <v/>
      </c>
      <c r="BG18" s="24" t="str">
        <f t="shared" si="21"/>
        <v/>
      </c>
      <c r="BH18" s="24" t="str">
        <f t="shared" si="21"/>
        <v/>
      </c>
      <c r="BI18" s="24" t="str">
        <f t="shared" si="21"/>
        <v/>
      </c>
      <c r="BJ18" s="24" t="str">
        <f t="shared" si="21"/>
        <v/>
      </c>
      <c r="BK18" s="24" t="str">
        <f t="shared" si="21"/>
        <v/>
      </c>
    </row>
    <row r="19" spans="1:63" s="2" customFormat="1" ht="30" customHeight="1" x14ac:dyDescent="0.25">
      <c r="A19" s="26" t="s">
        <v>19</v>
      </c>
      <c r="B19" s="21" t="s">
        <v>16</v>
      </c>
      <c r="C19" s="21"/>
      <c r="D19" s="18"/>
      <c r="E19" s="19">
        <f>E17+2</f>
        <v>45532</v>
      </c>
      <c r="F19" s="20"/>
      <c r="G19" s="16"/>
      <c r="H19" s="24" t="str">
        <f t="shared" si="16"/>
        <v/>
      </c>
      <c r="I19" s="24" t="str">
        <f t="shared" si="16"/>
        <v/>
      </c>
      <c r="J19" s="24" t="str">
        <f t="shared" si="16"/>
        <v/>
      </c>
      <c r="K19" s="24" t="str">
        <f t="shared" si="16"/>
        <v/>
      </c>
      <c r="L19" s="24" t="str">
        <f t="shared" si="16"/>
        <v/>
      </c>
      <c r="M19" s="24" t="str">
        <f t="shared" si="16"/>
        <v/>
      </c>
      <c r="N19" s="24" t="str">
        <f t="shared" si="16"/>
        <v/>
      </c>
      <c r="O19" s="24" t="str">
        <f t="shared" si="16"/>
        <v/>
      </c>
      <c r="P19" s="24" t="str">
        <f t="shared" si="16"/>
        <v/>
      </c>
      <c r="Q19" s="24" t="str">
        <f t="shared" si="16"/>
        <v/>
      </c>
      <c r="R19" s="24" t="str">
        <f t="shared" si="17"/>
        <v/>
      </c>
      <c r="S19" s="24" t="str">
        <f t="shared" si="17"/>
        <v/>
      </c>
      <c r="T19" s="24" t="str">
        <f t="shared" si="17"/>
        <v/>
      </c>
      <c r="U19" s="24" t="str">
        <f t="shared" si="17"/>
        <v/>
      </c>
      <c r="V19" s="24" t="str">
        <f t="shared" si="17"/>
        <v/>
      </c>
      <c r="W19" s="24" t="str">
        <f t="shared" si="17"/>
        <v/>
      </c>
      <c r="X19" s="24" t="str">
        <f t="shared" si="17"/>
        <v/>
      </c>
      <c r="Y19" s="24" t="str">
        <f t="shared" si="17"/>
        <v/>
      </c>
      <c r="Z19" s="24" t="str">
        <f t="shared" si="17"/>
        <v/>
      </c>
      <c r="AA19" s="24" t="str">
        <f t="shared" si="17"/>
        <v/>
      </c>
      <c r="AB19" s="24" t="str">
        <f t="shared" si="18"/>
        <v/>
      </c>
      <c r="AC19" s="24" t="str">
        <f t="shared" si="18"/>
        <v/>
      </c>
      <c r="AD19" s="24" t="str">
        <f t="shared" si="18"/>
        <v/>
      </c>
      <c r="AE19" s="24" t="str">
        <f t="shared" si="18"/>
        <v/>
      </c>
      <c r="AF19" s="24" t="str">
        <f t="shared" si="18"/>
        <v/>
      </c>
      <c r="AG19" s="24" t="str">
        <f t="shared" si="18"/>
        <v/>
      </c>
      <c r="AH19" s="24" t="str">
        <f t="shared" si="18"/>
        <v/>
      </c>
      <c r="AI19" s="24" t="str">
        <f t="shared" si="18"/>
        <v/>
      </c>
      <c r="AJ19" s="24" t="str">
        <f t="shared" si="18"/>
        <v/>
      </c>
      <c r="AK19" s="24" t="str">
        <f t="shared" si="18"/>
        <v/>
      </c>
      <c r="AL19" s="24" t="str">
        <f t="shared" si="19"/>
        <v/>
      </c>
      <c r="AM19" s="24" t="str">
        <f t="shared" si="19"/>
        <v/>
      </c>
      <c r="AN19" s="24" t="str">
        <f t="shared" si="19"/>
        <v/>
      </c>
      <c r="AO19" s="24" t="str">
        <f t="shared" si="19"/>
        <v/>
      </c>
      <c r="AP19" s="24" t="str">
        <f t="shared" si="19"/>
        <v/>
      </c>
      <c r="AQ19" s="24" t="str">
        <f t="shared" si="19"/>
        <v/>
      </c>
      <c r="AR19" s="24" t="str">
        <f t="shared" si="19"/>
        <v/>
      </c>
      <c r="AS19" s="24" t="str">
        <f t="shared" si="19"/>
        <v/>
      </c>
      <c r="AT19" s="24" t="str">
        <f t="shared" si="19"/>
        <v/>
      </c>
      <c r="AU19" s="24" t="str">
        <f t="shared" si="19"/>
        <v/>
      </c>
      <c r="AV19" s="24" t="str">
        <f t="shared" si="20"/>
        <v/>
      </c>
      <c r="AW19" s="24" t="str">
        <f t="shared" si="20"/>
        <v/>
      </c>
      <c r="AX19" s="24" t="str">
        <f t="shared" si="20"/>
        <v/>
      </c>
      <c r="AY19" s="24" t="str">
        <f t="shared" si="20"/>
        <v/>
      </c>
      <c r="AZ19" s="24" t="str">
        <f t="shared" si="20"/>
        <v/>
      </c>
      <c r="BA19" s="24" t="str">
        <f t="shared" si="20"/>
        <v/>
      </c>
      <c r="BB19" s="24" t="str">
        <f t="shared" si="20"/>
        <v/>
      </c>
      <c r="BC19" s="24" t="str">
        <f t="shared" si="20"/>
        <v/>
      </c>
      <c r="BD19" s="24" t="str">
        <f t="shared" si="20"/>
        <v/>
      </c>
      <c r="BE19" s="24" t="str">
        <f t="shared" si="20"/>
        <v/>
      </c>
      <c r="BF19" s="24" t="str">
        <f t="shared" si="21"/>
        <v/>
      </c>
      <c r="BG19" s="24" t="str">
        <f t="shared" si="21"/>
        <v/>
      </c>
      <c r="BH19" s="24" t="str">
        <f t="shared" si="21"/>
        <v/>
      </c>
      <c r="BI19" s="24" t="str">
        <f t="shared" si="21"/>
        <v/>
      </c>
      <c r="BJ19" s="24" t="str">
        <f t="shared" si="21"/>
        <v/>
      </c>
      <c r="BK19" s="24" t="str">
        <f t="shared" si="21"/>
        <v/>
      </c>
    </row>
    <row r="20" spans="1:63" s="2" customFormat="1" ht="30" customHeight="1" x14ac:dyDescent="0.25">
      <c r="A20" s="26" t="s">
        <v>20</v>
      </c>
      <c r="B20" s="21"/>
      <c r="C20" s="21"/>
      <c r="D20" s="18"/>
      <c r="E20" s="19">
        <f>E19+1</f>
        <v>45533</v>
      </c>
      <c r="F20" s="20"/>
      <c r="G20" s="16"/>
      <c r="H20" s="24" t="str">
        <f t="shared" ref="H20:AM20" si="22">IF(AND($B18="Goal",H$5&gt;=$E18,H$5&lt;=$E18+$F18-1),2,IF(AND($B18="Milestone",H$5&gt;=$E18,H$5&lt;=$E18+$F18-1),1,""))</f>
        <v/>
      </c>
      <c r="I20" s="24" t="str">
        <f t="shared" si="22"/>
        <v/>
      </c>
      <c r="J20" s="24" t="str">
        <f t="shared" si="22"/>
        <v/>
      </c>
      <c r="K20" s="24" t="str">
        <f t="shared" si="22"/>
        <v/>
      </c>
      <c r="L20" s="24" t="str">
        <f t="shared" si="22"/>
        <v/>
      </c>
      <c r="M20" s="24" t="str">
        <f t="shared" si="22"/>
        <v/>
      </c>
      <c r="N20" s="24" t="str">
        <f t="shared" si="22"/>
        <v/>
      </c>
      <c r="O20" s="24" t="str">
        <f t="shared" si="22"/>
        <v/>
      </c>
      <c r="P20" s="24" t="str">
        <f t="shared" si="22"/>
        <v/>
      </c>
      <c r="Q20" s="24" t="str">
        <f t="shared" si="22"/>
        <v/>
      </c>
      <c r="R20" s="24" t="str">
        <f t="shared" si="22"/>
        <v/>
      </c>
      <c r="S20" s="24" t="str">
        <f t="shared" si="22"/>
        <v/>
      </c>
      <c r="T20" s="24" t="str">
        <f t="shared" si="22"/>
        <v/>
      </c>
      <c r="U20" s="24" t="str">
        <f t="shared" si="22"/>
        <v/>
      </c>
      <c r="V20" s="24" t="str">
        <f t="shared" si="22"/>
        <v/>
      </c>
      <c r="W20" s="24" t="str">
        <f t="shared" si="22"/>
        <v/>
      </c>
      <c r="X20" s="24" t="str">
        <f t="shared" si="22"/>
        <v/>
      </c>
      <c r="Y20" s="24" t="str">
        <f t="shared" si="22"/>
        <v/>
      </c>
      <c r="Z20" s="24" t="str">
        <f t="shared" si="22"/>
        <v/>
      </c>
      <c r="AA20" s="24" t="str">
        <f t="shared" si="22"/>
        <v/>
      </c>
      <c r="AB20" s="24" t="str">
        <f t="shared" si="22"/>
        <v/>
      </c>
      <c r="AC20" s="24" t="str">
        <f t="shared" si="22"/>
        <v/>
      </c>
      <c r="AD20" s="24" t="str">
        <f t="shared" si="22"/>
        <v/>
      </c>
      <c r="AE20" s="24" t="str">
        <f t="shared" si="22"/>
        <v/>
      </c>
      <c r="AF20" s="24" t="str">
        <f t="shared" si="22"/>
        <v/>
      </c>
      <c r="AG20" s="24" t="str">
        <f t="shared" si="22"/>
        <v/>
      </c>
      <c r="AH20" s="24" t="str">
        <f t="shared" si="22"/>
        <v/>
      </c>
      <c r="AI20" s="24" t="str">
        <f t="shared" si="22"/>
        <v/>
      </c>
      <c r="AJ20" s="24" t="str">
        <f t="shared" si="22"/>
        <v/>
      </c>
      <c r="AK20" s="24" t="str">
        <f t="shared" si="22"/>
        <v/>
      </c>
      <c r="AL20" s="24" t="str">
        <f t="shared" si="22"/>
        <v/>
      </c>
      <c r="AM20" s="24" t="str">
        <f t="shared" si="22"/>
        <v/>
      </c>
      <c r="AN20" s="24" t="str">
        <f t="shared" ref="AN20:BK20" si="23">IF(AND($B18="Goal",AN$5&gt;=$E18,AN$5&lt;=$E18+$F18-1),2,IF(AND($B18="Milestone",AN$5&gt;=$E18,AN$5&lt;=$E18+$F18-1),1,""))</f>
        <v/>
      </c>
      <c r="AO20" s="24" t="str">
        <f t="shared" si="23"/>
        <v/>
      </c>
      <c r="AP20" s="24" t="str">
        <f t="shared" si="23"/>
        <v/>
      </c>
      <c r="AQ20" s="24" t="str">
        <f t="shared" si="23"/>
        <v/>
      </c>
      <c r="AR20" s="24" t="str">
        <f t="shared" si="23"/>
        <v/>
      </c>
      <c r="AS20" s="24" t="str">
        <f t="shared" si="23"/>
        <v/>
      </c>
      <c r="AT20" s="24" t="str">
        <f t="shared" si="23"/>
        <v/>
      </c>
      <c r="AU20" s="24" t="str">
        <f t="shared" si="23"/>
        <v/>
      </c>
      <c r="AV20" s="24" t="str">
        <f t="shared" si="23"/>
        <v/>
      </c>
      <c r="AW20" s="24" t="str">
        <f t="shared" si="23"/>
        <v/>
      </c>
      <c r="AX20" s="24" t="str">
        <f t="shared" si="23"/>
        <v/>
      </c>
      <c r="AY20" s="24" t="str">
        <f t="shared" si="23"/>
        <v/>
      </c>
      <c r="AZ20" s="24" t="str">
        <f t="shared" si="23"/>
        <v/>
      </c>
      <c r="BA20" s="24" t="str">
        <f t="shared" si="23"/>
        <v/>
      </c>
      <c r="BB20" s="24" t="str">
        <f t="shared" si="23"/>
        <v/>
      </c>
      <c r="BC20" s="24" t="str">
        <f t="shared" si="23"/>
        <v/>
      </c>
      <c r="BD20" s="24" t="str">
        <f t="shared" si="23"/>
        <v/>
      </c>
      <c r="BE20" s="24" t="str">
        <f t="shared" si="23"/>
        <v/>
      </c>
      <c r="BF20" s="24" t="str">
        <f t="shared" si="23"/>
        <v/>
      </c>
      <c r="BG20" s="24" t="str">
        <f t="shared" si="23"/>
        <v/>
      </c>
      <c r="BH20" s="24" t="str">
        <f t="shared" si="23"/>
        <v/>
      </c>
      <c r="BI20" s="24" t="str">
        <f t="shared" si="23"/>
        <v/>
      </c>
      <c r="BJ20" s="24" t="str">
        <f t="shared" si="23"/>
        <v/>
      </c>
      <c r="BK20" s="24" t="str">
        <f t="shared" si="23"/>
        <v/>
      </c>
    </row>
    <row r="21" spans="1:63" s="2" customFormat="1" ht="30" customHeight="1" x14ac:dyDescent="0.25">
      <c r="A21" s="26" t="s">
        <v>15</v>
      </c>
      <c r="B21" s="21" t="s">
        <v>2</v>
      </c>
      <c r="C21" s="21"/>
      <c r="D21" s="18"/>
      <c r="E21" s="19">
        <f>E10+15</f>
        <v>45361</v>
      </c>
      <c r="F21" s="20"/>
      <c r="G21" s="16"/>
      <c r="H21" s="24" t="str">
        <f t="shared" ref="H21:Q32" si="24">IF(AND($B21="Goal",H$5&gt;=$E21,H$5&lt;=$E21+$F21-1),2,IF(AND($B21="Milestone",H$5&gt;=$E21,H$5&lt;=$E21+$F21-1),1,""))</f>
        <v/>
      </c>
      <c r="I21" s="24" t="str">
        <f t="shared" si="24"/>
        <v/>
      </c>
      <c r="J21" s="24" t="str">
        <f t="shared" si="24"/>
        <v/>
      </c>
      <c r="K21" s="24" t="str">
        <f t="shared" si="24"/>
        <v/>
      </c>
      <c r="L21" s="24" t="str">
        <f t="shared" si="24"/>
        <v/>
      </c>
      <c r="M21" s="24" t="str">
        <f t="shared" si="24"/>
        <v/>
      </c>
      <c r="N21" s="24" t="str">
        <f t="shared" si="24"/>
        <v/>
      </c>
      <c r="O21" s="24" t="str">
        <f t="shared" si="24"/>
        <v/>
      </c>
      <c r="P21" s="24" t="str">
        <f t="shared" si="24"/>
        <v/>
      </c>
      <c r="Q21" s="24" t="str">
        <f t="shared" si="24"/>
        <v/>
      </c>
      <c r="R21" s="24" t="str">
        <f t="shared" ref="R21:AA32" si="25">IF(AND($B21="Goal",R$5&gt;=$E21,R$5&lt;=$E21+$F21-1),2,IF(AND($B21="Milestone",R$5&gt;=$E21,R$5&lt;=$E21+$F21-1),1,""))</f>
        <v/>
      </c>
      <c r="S21" s="24" t="str">
        <f t="shared" si="25"/>
        <v/>
      </c>
      <c r="T21" s="24" t="str">
        <f t="shared" si="25"/>
        <v/>
      </c>
      <c r="U21" s="24" t="str">
        <f t="shared" si="25"/>
        <v/>
      </c>
      <c r="V21" s="24" t="str">
        <f t="shared" si="25"/>
        <v/>
      </c>
      <c r="W21" s="24" t="str">
        <f t="shared" si="25"/>
        <v/>
      </c>
      <c r="X21" s="24" t="str">
        <f t="shared" si="25"/>
        <v/>
      </c>
      <c r="Y21" s="24" t="str">
        <f t="shared" si="25"/>
        <v/>
      </c>
      <c r="Z21" s="24" t="str">
        <f t="shared" si="25"/>
        <v/>
      </c>
      <c r="AA21" s="24" t="str">
        <f t="shared" si="25"/>
        <v/>
      </c>
      <c r="AB21" s="24" t="str">
        <f t="shared" ref="AB21:AK32" si="26">IF(AND($B21="Goal",AB$5&gt;=$E21,AB$5&lt;=$E21+$F21-1),2,IF(AND($B21="Milestone",AB$5&gt;=$E21,AB$5&lt;=$E21+$F21-1),1,""))</f>
        <v/>
      </c>
      <c r="AC21" s="24" t="str">
        <f t="shared" si="26"/>
        <v/>
      </c>
      <c r="AD21" s="24" t="str">
        <f t="shared" si="26"/>
        <v/>
      </c>
      <c r="AE21" s="24" t="str">
        <f t="shared" si="26"/>
        <v/>
      </c>
      <c r="AF21" s="24" t="str">
        <f t="shared" si="26"/>
        <v/>
      </c>
      <c r="AG21" s="24" t="str">
        <f t="shared" si="26"/>
        <v/>
      </c>
      <c r="AH21" s="24" t="str">
        <f t="shared" si="26"/>
        <v/>
      </c>
      <c r="AI21" s="24" t="str">
        <f t="shared" si="26"/>
        <v/>
      </c>
      <c r="AJ21" s="24" t="str">
        <f t="shared" si="26"/>
        <v/>
      </c>
      <c r="AK21" s="24" t="str">
        <f t="shared" si="26"/>
        <v/>
      </c>
      <c r="AL21" s="24" t="str">
        <f t="shared" ref="AL21:AU32" si="27">IF(AND($B21="Goal",AL$5&gt;=$E21,AL$5&lt;=$E21+$F21-1),2,IF(AND($B21="Milestone",AL$5&gt;=$E21,AL$5&lt;=$E21+$F21-1),1,""))</f>
        <v/>
      </c>
      <c r="AM21" s="24" t="str">
        <f t="shared" si="27"/>
        <v/>
      </c>
      <c r="AN21" s="24" t="str">
        <f t="shared" si="27"/>
        <v/>
      </c>
      <c r="AO21" s="24" t="str">
        <f t="shared" si="27"/>
        <v/>
      </c>
      <c r="AP21" s="24" t="str">
        <f t="shared" si="27"/>
        <v/>
      </c>
      <c r="AQ21" s="24" t="str">
        <f t="shared" si="27"/>
        <v/>
      </c>
      <c r="AR21" s="24" t="str">
        <f t="shared" si="27"/>
        <v/>
      </c>
      <c r="AS21" s="24" t="str">
        <f t="shared" si="27"/>
        <v/>
      </c>
      <c r="AT21" s="24" t="str">
        <f t="shared" si="27"/>
        <v/>
      </c>
      <c r="AU21" s="24" t="str">
        <f t="shared" si="27"/>
        <v/>
      </c>
      <c r="AV21" s="24" t="str">
        <f t="shared" ref="AV21:BE32" si="28">IF(AND($B21="Goal",AV$5&gt;=$E21,AV$5&lt;=$E21+$F21-1),2,IF(AND($B21="Milestone",AV$5&gt;=$E21,AV$5&lt;=$E21+$F21-1),1,""))</f>
        <v/>
      </c>
      <c r="AW21" s="24" t="str">
        <f t="shared" si="28"/>
        <v/>
      </c>
      <c r="AX21" s="24" t="str">
        <f t="shared" si="28"/>
        <v/>
      </c>
      <c r="AY21" s="24" t="str">
        <f t="shared" si="28"/>
        <v/>
      </c>
      <c r="AZ21" s="24" t="str">
        <f t="shared" si="28"/>
        <v/>
      </c>
      <c r="BA21" s="24" t="str">
        <f t="shared" si="28"/>
        <v/>
      </c>
      <c r="BB21" s="24" t="str">
        <f t="shared" si="28"/>
        <v/>
      </c>
      <c r="BC21" s="24" t="str">
        <f t="shared" si="28"/>
        <v/>
      </c>
      <c r="BD21" s="24" t="str">
        <f t="shared" si="28"/>
        <v/>
      </c>
      <c r="BE21" s="24" t="str">
        <f t="shared" si="28"/>
        <v/>
      </c>
      <c r="BF21" s="24" t="str">
        <f t="shared" ref="BF21:BK32" si="29">IF(AND($B21="Goal",BF$5&gt;=$E21,BF$5&lt;=$E21+$F21-1),2,IF(AND($B21="Milestone",BF$5&gt;=$E21,BF$5&lt;=$E21+$F21-1),1,""))</f>
        <v/>
      </c>
      <c r="BG21" s="24" t="str">
        <f t="shared" si="29"/>
        <v/>
      </c>
      <c r="BH21" s="24" t="str">
        <f t="shared" si="29"/>
        <v/>
      </c>
      <c r="BI21" s="24" t="str">
        <f t="shared" si="29"/>
        <v/>
      </c>
      <c r="BJ21" s="24" t="str">
        <f t="shared" si="29"/>
        <v/>
      </c>
      <c r="BK21" s="24" t="str">
        <f t="shared" si="29"/>
        <v/>
      </c>
    </row>
    <row r="22" spans="1:63" s="2" customFormat="1" ht="30" customHeight="1" x14ac:dyDescent="0.25">
      <c r="A22" s="26" t="s">
        <v>17</v>
      </c>
      <c r="B22" s="21" t="s">
        <v>4</v>
      </c>
      <c r="C22" s="21"/>
      <c r="D22" s="18"/>
      <c r="E22" s="19">
        <f>E21+3</f>
        <v>45364</v>
      </c>
      <c r="F22" s="20"/>
      <c r="G22" s="16"/>
      <c r="H22" s="24" t="str">
        <f t="shared" si="24"/>
        <v/>
      </c>
      <c r="I22" s="24" t="str">
        <f t="shared" si="24"/>
        <v/>
      </c>
      <c r="J22" s="24" t="str">
        <f t="shared" si="24"/>
        <v/>
      </c>
      <c r="K22" s="24" t="str">
        <f t="shared" si="24"/>
        <v/>
      </c>
      <c r="L22" s="24" t="str">
        <f t="shared" si="24"/>
        <v/>
      </c>
      <c r="M22" s="24" t="str">
        <f t="shared" si="24"/>
        <v/>
      </c>
      <c r="N22" s="24" t="str">
        <f t="shared" si="24"/>
        <v/>
      </c>
      <c r="O22" s="24" t="str">
        <f t="shared" si="24"/>
        <v/>
      </c>
      <c r="P22" s="24" t="str">
        <f t="shared" si="24"/>
        <v/>
      </c>
      <c r="Q22" s="24" t="str">
        <f t="shared" si="24"/>
        <v/>
      </c>
      <c r="R22" s="24" t="str">
        <f t="shared" si="25"/>
        <v/>
      </c>
      <c r="S22" s="24" t="str">
        <f t="shared" si="25"/>
        <v/>
      </c>
      <c r="T22" s="24" t="str">
        <f t="shared" si="25"/>
        <v/>
      </c>
      <c r="U22" s="24" t="str">
        <f t="shared" si="25"/>
        <v/>
      </c>
      <c r="V22" s="24" t="str">
        <f t="shared" si="25"/>
        <v/>
      </c>
      <c r="W22" s="24" t="str">
        <f t="shared" si="25"/>
        <v/>
      </c>
      <c r="X22" s="24" t="str">
        <f t="shared" si="25"/>
        <v/>
      </c>
      <c r="Y22" s="24" t="str">
        <f t="shared" si="25"/>
        <v/>
      </c>
      <c r="Z22" s="24" t="str">
        <f t="shared" si="25"/>
        <v/>
      </c>
      <c r="AA22" s="24" t="str">
        <f t="shared" si="25"/>
        <v/>
      </c>
      <c r="AB22" s="24" t="str">
        <f t="shared" si="26"/>
        <v/>
      </c>
      <c r="AC22" s="24" t="str">
        <f t="shared" si="26"/>
        <v/>
      </c>
      <c r="AD22" s="24" t="str">
        <f t="shared" si="26"/>
        <v/>
      </c>
      <c r="AE22" s="24" t="str">
        <f t="shared" si="26"/>
        <v/>
      </c>
      <c r="AF22" s="24" t="str">
        <f t="shared" si="26"/>
        <v/>
      </c>
      <c r="AG22" s="24" t="str">
        <f t="shared" si="26"/>
        <v/>
      </c>
      <c r="AH22" s="24" t="str">
        <f t="shared" si="26"/>
        <v/>
      </c>
      <c r="AI22" s="24" t="str">
        <f t="shared" si="26"/>
        <v/>
      </c>
      <c r="AJ22" s="24" t="str">
        <f t="shared" si="26"/>
        <v/>
      </c>
      <c r="AK22" s="24" t="str">
        <f t="shared" si="26"/>
        <v/>
      </c>
      <c r="AL22" s="24" t="str">
        <f t="shared" si="27"/>
        <v/>
      </c>
      <c r="AM22" s="24" t="str">
        <f t="shared" si="27"/>
        <v/>
      </c>
      <c r="AN22" s="24" t="str">
        <f t="shared" si="27"/>
        <v/>
      </c>
      <c r="AO22" s="24" t="str">
        <f t="shared" si="27"/>
        <v/>
      </c>
      <c r="AP22" s="24" t="str">
        <f t="shared" si="27"/>
        <v/>
      </c>
      <c r="AQ22" s="24" t="str">
        <f t="shared" si="27"/>
        <v/>
      </c>
      <c r="AR22" s="24" t="str">
        <f t="shared" si="27"/>
        <v/>
      </c>
      <c r="AS22" s="24" t="str">
        <f t="shared" si="27"/>
        <v/>
      </c>
      <c r="AT22" s="24" t="str">
        <f t="shared" si="27"/>
        <v/>
      </c>
      <c r="AU22" s="24" t="str">
        <f t="shared" si="27"/>
        <v/>
      </c>
      <c r="AV22" s="24" t="str">
        <f t="shared" si="28"/>
        <v/>
      </c>
      <c r="AW22" s="24" t="str">
        <f t="shared" si="28"/>
        <v/>
      </c>
      <c r="AX22" s="24" t="str">
        <f t="shared" si="28"/>
        <v/>
      </c>
      <c r="AY22" s="24" t="str">
        <f t="shared" si="28"/>
        <v/>
      </c>
      <c r="AZ22" s="24" t="str">
        <f t="shared" si="28"/>
        <v/>
      </c>
      <c r="BA22" s="24" t="str">
        <f t="shared" si="28"/>
        <v/>
      </c>
      <c r="BB22" s="24" t="str">
        <f t="shared" si="28"/>
        <v/>
      </c>
      <c r="BC22" s="24" t="str">
        <f t="shared" si="28"/>
        <v/>
      </c>
      <c r="BD22" s="24" t="str">
        <f t="shared" si="28"/>
        <v/>
      </c>
      <c r="BE22" s="24" t="str">
        <f t="shared" si="28"/>
        <v/>
      </c>
      <c r="BF22" s="24" t="str">
        <f t="shared" si="29"/>
        <v/>
      </c>
      <c r="BG22" s="24" t="str">
        <f t="shared" si="29"/>
        <v/>
      </c>
      <c r="BH22" s="24" t="str">
        <f t="shared" si="29"/>
        <v/>
      </c>
      <c r="BI22" s="24" t="str">
        <f t="shared" si="29"/>
        <v/>
      </c>
      <c r="BJ22" s="24" t="str">
        <f t="shared" si="29"/>
        <v/>
      </c>
      <c r="BK22" s="24" t="str">
        <f t="shared" si="29"/>
        <v/>
      </c>
    </row>
    <row r="23" spans="1:63" s="2" customFormat="1" ht="30" customHeight="1" x14ac:dyDescent="0.25">
      <c r="A23" s="26" t="s">
        <v>18</v>
      </c>
      <c r="B23" s="21" t="s">
        <v>2</v>
      </c>
      <c r="C23" s="21"/>
      <c r="D23" s="18"/>
      <c r="E23" s="19">
        <f>E22+15</f>
        <v>45379</v>
      </c>
      <c r="F23" s="20"/>
      <c r="G23" s="16"/>
      <c r="H23" s="24" t="str">
        <f t="shared" si="24"/>
        <v/>
      </c>
      <c r="I23" s="24" t="str">
        <f t="shared" si="24"/>
        <v/>
      </c>
      <c r="J23" s="24" t="str">
        <f t="shared" si="24"/>
        <v/>
      </c>
      <c r="K23" s="24" t="str">
        <f t="shared" si="24"/>
        <v/>
      </c>
      <c r="L23" s="24" t="str">
        <f t="shared" si="24"/>
        <v/>
      </c>
      <c r="M23" s="24" t="str">
        <f t="shared" si="24"/>
        <v/>
      </c>
      <c r="N23" s="24" t="str">
        <f t="shared" si="24"/>
        <v/>
      </c>
      <c r="O23" s="24" t="str">
        <f t="shared" si="24"/>
        <v/>
      </c>
      <c r="P23" s="24" t="str">
        <f t="shared" si="24"/>
        <v/>
      </c>
      <c r="Q23" s="24" t="str">
        <f t="shared" si="24"/>
        <v/>
      </c>
      <c r="R23" s="24" t="str">
        <f t="shared" si="25"/>
        <v/>
      </c>
      <c r="S23" s="24" t="str">
        <f t="shared" si="25"/>
        <v/>
      </c>
      <c r="T23" s="24" t="str">
        <f t="shared" si="25"/>
        <v/>
      </c>
      <c r="U23" s="24" t="str">
        <f t="shared" si="25"/>
        <v/>
      </c>
      <c r="V23" s="24" t="str">
        <f t="shared" si="25"/>
        <v/>
      </c>
      <c r="W23" s="24" t="str">
        <f t="shared" si="25"/>
        <v/>
      </c>
      <c r="X23" s="24" t="str">
        <f t="shared" si="25"/>
        <v/>
      </c>
      <c r="Y23" s="24" t="str">
        <f t="shared" si="25"/>
        <v/>
      </c>
      <c r="Z23" s="24" t="str">
        <f t="shared" si="25"/>
        <v/>
      </c>
      <c r="AA23" s="24" t="str">
        <f t="shared" si="25"/>
        <v/>
      </c>
      <c r="AB23" s="24" t="str">
        <f t="shared" si="26"/>
        <v/>
      </c>
      <c r="AC23" s="24" t="str">
        <f t="shared" si="26"/>
        <v/>
      </c>
      <c r="AD23" s="24" t="str">
        <f t="shared" si="26"/>
        <v/>
      </c>
      <c r="AE23" s="24" t="str">
        <f t="shared" si="26"/>
        <v/>
      </c>
      <c r="AF23" s="24" t="str">
        <f t="shared" si="26"/>
        <v/>
      </c>
      <c r="AG23" s="24" t="str">
        <f t="shared" si="26"/>
        <v/>
      </c>
      <c r="AH23" s="24" t="str">
        <f t="shared" si="26"/>
        <v/>
      </c>
      <c r="AI23" s="24" t="str">
        <f t="shared" si="26"/>
        <v/>
      </c>
      <c r="AJ23" s="24" t="str">
        <f t="shared" si="26"/>
        <v/>
      </c>
      <c r="AK23" s="24" t="str">
        <f t="shared" si="26"/>
        <v/>
      </c>
      <c r="AL23" s="24" t="str">
        <f t="shared" si="27"/>
        <v/>
      </c>
      <c r="AM23" s="24" t="str">
        <f t="shared" si="27"/>
        <v/>
      </c>
      <c r="AN23" s="24" t="str">
        <f t="shared" si="27"/>
        <v/>
      </c>
      <c r="AO23" s="24" t="str">
        <f t="shared" si="27"/>
        <v/>
      </c>
      <c r="AP23" s="24" t="str">
        <f t="shared" si="27"/>
        <v/>
      </c>
      <c r="AQ23" s="24" t="str">
        <f t="shared" si="27"/>
        <v/>
      </c>
      <c r="AR23" s="24" t="str">
        <f t="shared" si="27"/>
        <v/>
      </c>
      <c r="AS23" s="24" t="str">
        <f t="shared" si="27"/>
        <v/>
      </c>
      <c r="AT23" s="24" t="str">
        <f t="shared" si="27"/>
        <v/>
      </c>
      <c r="AU23" s="24" t="str">
        <f t="shared" si="27"/>
        <v/>
      </c>
      <c r="AV23" s="24" t="str">
        <f t="shared" si="28"/>
        <v/>
      </c>
      <c r="AW23" s="24" t="str">
        <f t="shared" si="28"/>
        <v/>
      </c>
      <c r="AX23" s="24" t="str">
        <f t="shared" si="28"/>
        <v/>
      </c>
      <c r="AY23" s="24" t="str">
        <f t="shared" si="28"/>
        <v/>
      </c>
      <c r="AZ23" s="24" t="str">
        <f t="shared" si="28"/>
        <v/>
      </c>
      <c r="BA23" s="24" t="str">
        <f t="shared" si="28"/>
        <v/>
      </c>
      <c r="BB23" s="24" t="str">
        <f t="shared" si="28"/>
        <v/>
      </c>
      <c r="BC23" s="24" t="str">
        <f t="shared" si="28"/>
        <v/>
      </c>
      <c r="BD23" s="24" t="str">
        <f t="shared" si="28"/>
        <v/>
      </c>
      <c r="BE23" s="24" t="str">
        <f t="shared" si="28"/>
        <v/>
      </c>
      <c r="BF23" s="24" t="str">
        <f t="shared" si="29"/>
        <v/>
      </c>
      <c r="BG23" s="24" t="str">
        <f t="shared" si="29"/>
        <v/>
      </c>
      <c r="BH23" s="24" t="str">
        <f t="shared" si="29"/>
        <v/>
      </c>
      <c r="BI23" s="24" t="str">
        <f t="shared" si="29"/>
        <v/>
      </c>
      <c r="BJ23" s="24" t="str">
        <f t="shared" si="29"/>
        <v/>
      </c>
      <c r="BK23" s="24" t="str">
        <f t="shared" si="29"/>
        <v/>
      </c>
    </row>
    <row r="24" spans="1:63" s="2" customFormat="1" ht="30" customHeight="1" x14ac:dyDescent="0.25">
      <c r="A24" s="26" t="s">
        <v>19</v>
      </c>
      <c r="B24" s="21" t="s">
        <v>21</v>
      </c>
      <c r="C24" s="21"/>
      <c r="D24" s="18"/>
      <c r="E24" s="19">
        <f>E19+22</f>
        <v>45554</v>
      </c>
      <c r="F24" s="20"/>
      <c r="G24" s="16"/>
      <c r="H24" s="24" t="str">
        <f t="shared" si="24"/>
        <v/>
      </c>
      <c r="I24" s="24" t="str">
        <f t="shared" si="24"/>
        <v/>
      </c>
      <c r="J24" s="24" t="str">
        <f t="shared" si="24"/>
        <v/>
      </c>
      <c r="K24" s="24" t="str">
        <f t="shared" si="24"/>
        <v/>
      </c>
      <c r="L24" s="24" t="str">
        <f t="shared" si="24"/>
        <v/>
      </c>
      <c r="M24" s="24" t="str">
        <f t="shared" si="24"/>
        <v/>
      </c>
      <c r="N24" s="24" t="str">
        <f t="shared" si="24"/>
        <v/>
      </c>
      <c r="O24" s="24" t="str">
        <f t="shared" si="24"/>
        <v/>
      </c>
      <c r="P24" s="24" t="str">
        <f t="shared" si="24"/>
        <v/>
      </c>
      <c r="Q24" s="24" t="str">
        <f t="shared" si="24"/>
        <v/>
      </c>
      <c r="R24" s="24" t="str">
        <f t="shared" si="25"/>
        <v/>
      </c>
      <c r="S24" s="24" t="str">
        <f t="shared" si="25"/>
        <v/>
      </c>
      <c r="T24" s="24" t="str">
        <f t="shared" si="25"/>
        <v/>
      </c>
      <c r="U24" s="24" t="str">
        <f t="shared" si="25"/>
        <v/>
      </c>
      <c r="V24" s="24" t="str">
        <f t="shared" si="25"/>
        <v/>
      </c>
      <c r="W24" s="24" t="str">
        <f t="shared" si="25"/>
        <v/>
      </c>
      <c r="X24" s="24" t="str">
        <f t="shared" si="25"/>
        <v/>
      </c>
      <c r="Y24" s="24" t="str">
        <f t="shared" si="25"/>
        <v/>
      </c>
      <c r="Z24" s="24" t="str">
        <f t="shared" si="25"/>
        <v/>
      </c>
      <c r="AA24" s="24" t="str">
        <f t="shared" si="25"/>
        <v/>
      </c>
      <c r="AB24" s="24" t="str">
        <f t="shared" si="26"/>
        <v/>
      </c>
      <c r="AC24" s="24" t="str">
        <f t="shared" si="26"/>
        <v/>
      </c>
      <c r="AD24" s="24" t="str">
        <f t="shared" si="26"/>
        <v/>
      </c>
      <c r="AE24" s="24" t="str">
        <f t="shared" si="26"/>
        <v/>
      </c>
      <c r="AF24" s="24" t="str">
        <f t="shared" si="26"/>
        <v/>
      </c>
      <c r="AG24" s="24" t="str">
        <f t="shared" si="26"/>
        <v/>
      </c>
      <c r="AH24" s="24" t="str">
        <f t="shared" si="26"/>
        <v/>
      </c>
      <c r="AI24" s="24" t="str">
        <f t="shared" si="26"/>
        <v/>
      </c>
      <c r="AJ24" s="24" t="str">
        <f t="shared" si="26"/>
        <v/>
      </c>
      <c r="AK24" s="24" t="str">
        <f t="shared" si="26"/>
        <v/>
      </c>
      <c r="AL24" s="24" t="str">
        <f t="shared" si="27"/>
        <v/>
      </c>
      <c r="AM24" s="24" t="str">
        <f t="shared" si="27"/>
        <v/>
      </c>
      <c r="AN24" s="24" t="str">
        <f t="shared" si="27"/>
        <v/>
      </c>
      <c r="AO24" s="24" t="str">
        <f t="shared" si="27"/>
        <v/>
      </c>
      <c r="AP24" s="24" t="str">
        <f t="shared" si="27"/>
        <v/>
      </c>
      <c r="AQ24" s="24" t="str">
        <f t="shared" si="27"/>
        <v/>
      </c>
      <c r="AR24" s="24" t="str">
        <f t="shared" si="27"/>
        <v/>
      </c>
      <c r="AS24" s="24" t="str">
        <f t="shared" si="27"/>
        <v/>
      </c>
      <c r="AT24" s="24" t="str">
        <f t="shared" si="27"/>
        <v/>
      </c>
      <c r="AU24" s="24" t="str">
        <f t="shared" si="27"/>
        <v/>
      </c>
      <c r="AV24" s="24" t="str">
        <f t="shared" si="28"/>
        <v/>
      </c>
      <c r="AW24" s="24" t="str">
        <f t="shared" si="28"/>
        <v/>
      </c>
      <c r="AX24" s="24" t="str">
        <f t="shared" si="28"/>
        <v/>
      </c>
      <c r="AY24" s="24" t="str">
        <f t="shared" si="28"/>
        <v/>
      </c>
      <c r="AZ24" s="24" t="str">
        <f t="shared" si="28"/>
        <v/>
      </c>
      <c r="BA24" s="24" t="str">
        <f t="shared" si="28"/>
        <v/>
      </c>
      <c r="BB24" s="24" t="str">
        <f t="shared" si="28"/>
        <v/>
      </c>
      <c r="BC24" s="24" t="str">
        <f t="shared" si="28"/>
        <v/>
      </c>
      <c r="BD24" s="24" t="str">
        <f t="shared" si="28"/>
        <v/>
      </c>
      <c r="BE24" s="24" t="str">
        <f t="shared" si="28"/>
        <v/>
      </c>
      <c r="BF24" s="24" t="str">
        <f t="shared" si="29"/>
        <v/>
      </c>
      <c r="BG24" s="24" t="str">
        <f t="shared" si="29"/>
        <v/>
      </c>
      <c r="BH24" s="24" t="str">
        <f t="shared" si="29"/>
        <v/>
      </c>
      <c r="BI24" s="24" t="str">
        <f t="shared" si="29"/>
        <v/>
      </c>
      <c r="BJ24" s="24" t="str">
        <f t="shared" si="29"/>
        <v/>
      </c>
      <c r="BK24" s="24" t="str">
        <f t="shared" si="29"/>
        <v/>
      </c>
    </row>
    <row r="25" spans="1:63" s="2" customFormat="1" ht="30" customHeight="1" x14ac:dyDescent="0.25">
      <c r="A25" s="26" t="s">
        <v>20</v>
      </c>
      <c r="B25" s="21" t="s">
        <v>3</v>
      </c>
      <c r="C25" s="21"/>
      <c r="D25" s="18"/>
      <c r="E25" s="19">
        <f>E15</f>
        <v>45530</v>
      </c>
      <c r="F25" s="20"/>
      <c r="G25" s="16"/>
      <c r="H25" s="24" t="str">
        <f t="shared" si="24"/>
        <v/>
      </c>
      <c r="I25" s="24" t="str">
        <f t="shared" si="24"/>
        <v/>
      </c>
      <c r="J25" s="24" t="str">
        <f t="shared" si="24"/>
        <v/>
      </c>
      <c r="K25" s="24" t="str">
        <f t="shared" si="24"/>
        <v/>
      </c>
      <c r="L25" s="24" t="str">
        <f t="shared" si="24"/>
        <v/>
      </c>
      <c r="M25" s="24" t="str">
        <f t="shared" si="24"/>
        <v/>
      </c>
      <c r="N25" s="24" t="str">
        <f t="shared" si="24"/>
        <v/>
      </c>
      <c r="O25" s="24" t="str">
        <f t="shared" si="24"/>
        <v/>
      </c>
      <c r="P25" s="24" t="str">
        <f t="shared" si="24"/>
        <v/>
      </c>
      <c r="Q25" s="24" t="str">
        <f t="shared" si="24"/>
        <v/>
      </c>
      <c r="R25" s="24" t="str">
        <f t="shared" si="25"/>
        <v/>
      </c>
      <c r="S25" s="24" t="str">
        <f t="shared" si="25"/>
        <v/>
      </c>
      <c r="T25" s="24" t="str">
        <f t="shared" si="25"/>
        <v/>
      </c>
      <c r="U25" s="24" t="str">
        <f t="shared" si="25"/>
        <v/>
      </c>
      <c r="V25" s="24" t="str">
        <f t="shared" si="25"/>
        <v/>
      </c>
      <c r="W25" s="24" t="str">
        <f t="shared" si="25"/>
        <v/>
      </c>
      <c r="X25" s="24" t="str">
        <f t="shared" si="25"/>
        <v/>
      </c>
      <c r="Y25" s="24" t="str">
        <f t="shared" si="25"/>
        <v/>
      </c>
      <c r="Z25" s="24" t="str">
        <f t="shared" si="25"/>
        <v/>
      </c>
      <c r="AA25" s="24" t="str">
        <f t="shared" si="25"/>
        <v/>
      </c>
      <c r="AB25" s="24" t="str">
        <f t="shared" si="26"/>
        <v/>
      </c>
      <c r="AC25" s="24" t="str">
        <f t="shared" si="26"/>
        <v/>
      </c>
      <c r="AD25" s="24" t="str">
        <f t="shared" si="26"/>
        <v/>
      </c>
      <c r="AE25" s="24" t="str">
        <f t="shared" si="26"/>
        <v/>
      </c>
      <c r="AF25" s="24" t="str">
        <f t="shared" si="26"/>
        <v/>
      </c>
      <c r="AG25" s="24" t="str">
        <f t="shared" si="26"/>
        <v/>
      </c>
      <c r="AH25" s="24" t="str">
        <f t="shared" si="26"/>
        <v/>
      </c>
      <c r="AI25" s="24" t="str">
        <f t="shared" si="26"/>
        <v/>
      </c>
      <c r="AJ25" s="24" t="str">
        <f t="shared" si="26"/>
        <v/>
      </c>
      <c r="AK25" s="24" t="str">
        <f t="shared" si="26"/>
        <v/>
      </c>
      <c r="AL25" s="24" t="str">
        <f t="shared" si="27"/>
        <v/>
      </c>
      <c r="AM25" s="24" t="str">
        <f t="shared" si="27"/>
        <v/>
      </c>
      <c r="AN25" s="24" t="str">
        <f t="shared" si="27"/>
        <v/>
      </c>
      <c r="AO25" s="24" t="str">
        <f t="shared" si="27"/>
        <v/>
      </c>
      <c r="AP25" s="24" t="str">
        <f t="shared" si="27"/>
        <v/>
      </c>
      <c r="AQ25" s="24" t="str">
        <f t="shared" si="27"/>
        <v/>
      </c>
      <c r="AR25" s="24" t="str">
        <f t="shared" si="27"/>
        <v/>
      </c>
      <c r="AS25" s="24" t="str">
        <f t="shared" si="27"/>
        <v/>
      </c>
      <c r="AT25" s="24" t="str">
        <f t="shared" si="27"/>
        <v/>
      </c>
      <c r="AU25" s="24" t="str">
        <f t="shared" si="27"/>
        <v/>
      </c>
      <c r="AV25" s="24" t="str">
        <f t="shared" si="28"/>
        <v/>
      </c>
      <c r="AW25" s="24" t="str">
        <f t="shared" si="28"/>
        <v/>
      </c>
      <c r="AX25" s="24" t="str">
        <f t="shared" si="28"/>
        <v/>
      </c>
      <c r="AY25" s="24" t="str">
        <f t="shared" si="28"/>
        <v/>
      </c>
      <c r="AZ25" s="24" t="str">
        <f t="shared" si="28"/>
        <v/>
      </c>
      <c r="BA25" s="24" t="str">
        <f t="shared" si="28"/>
        <v/>
      </c>
      <c r="BB25" s="24" t="str">
        <f t="shared" si="28"/>
        <v/>
      </c>
      <c r="BC25" s="24" t="str">
        <f t="shared" si="28"/>
        <v/>
      </c>
      <c r="BD25" s="24" t="str">
        <f t="shared" si="28"/>
        <v/>
      </c>
      <c r="BE25" s="24" t="str">
        <f t="shared" si="28"/>
        <v/>
      </c>
      <c r="BF25" s="24" t="str">
        <f t="shared" si="29"/>
        <v/>
      </c>
      <c r="BG25" s="24" t="str">
        <f t="shared" si="29"/>
        <v/>
      </c>
      <c r="BH25" s="24" t="str">
        <f t="shared" si="29"/>
        <v/>
      </c>
      <c r="BI25" s="24" t="str">
        <f t="shared" si="29"/>
        <v/>
      </c>
      <c r="BJ25" s="24" t="str">
        <f t="shared" si="29"/>
        <v/>
      </c>
      <c r="BK25" s="24" t="str">
        <f t="shared" si="29"/>
        <v/>
      </c>
    </row>
    <row r="26" spans="1:63" s="2" customFormat="1" ht="30" customHeight="1" x14ac:dyDescent="0.25">
      <c r="A26" s="27" t="s">
        <v>22</v>
      </c>
      <c r="B26" s="21"/>
      <c r="C26" s="21"/>
      <c r="D26" s="18"/>
      <c r="E26" s="19"/>
      <c r="F26" s="20"/>
      <c r="G26" s="16"/>
      <c r="H26" s="24" t="str">
        <f t="shared" si="24"/>
        <v/>
      </c>
      <c r="I26" s="24" t="str">
        <f t="shared" si="24"/>
        <v/>
      </c>
      <c r="J26" s="24" t="str">
        <f t="shared" si="24"/>
        <v/>
      </c>
      <c r="K26" s="24" t="str">
        <f t="shared" si="24"/>
        <v/>
      </c>
      <c r="L26" s="24" t="str">
        <f t="shared" si="24"/>
        <v/>
      </c>
      <c r="M26" s="24" t="str">
        <f t="shared" si="24"/>
        <v/>
      </c>
      <c r="N26" s="24" t="str">
        <f t="shared" si="24"/>
        <v/>
      </c>
      <c r="O26" s="24" t="str">
        <f t="shared" si="24"/>
        <v/>
      </c>
      <c r="P26" s="24" t="str">
        <f t="shared" si="24"/>
        <v/>
      </c>
      <c r="Q26" s="24" t="str">
        <f t="shared" si="24"/>
        <v/>
      </c>
      <c r="R26" s="24" t="str">
        <f t="shared" si="25"/>
        <v/>
      </c>
      <c r="S26" s="24" t="str">
        <f t="shared" si="25"/>
        <v/>
      </c>
      <c r="T26" s="24" t="str">
        <f t="shared" si="25"/>
        <v/>
      </c>
      <c r="U26" s="24" t="str">
        <f t="shared" si="25"/>
        <v/>
      </c>
      <c r="V26" s="24" t="str">
        <f t="shared" si="25"/>
        <v/>
      </c>
      <c r="W26" s="24" t="str">
        <f t="shared" si="25"/>
        <v/>
      </c>
      <c r="X26" s="24" t="str">
        <f t="shared" si="25"/>
        <v/>
      </c>
      <c r="Y26" s="24" t="str">
        <f t="shared" si="25"/>
        <v/>
      </c>
      <c r="Z26" s="24" t="str">
        <f t="shared" si="25"/>
        <v/>
      </c>
      <c r="AA26" s="24" t="str">
        <f t="shared" si="25"/>
        <v/>
      </c>
      <c r="AB26" s="24" t="str">
        <f t="shared" si="26"/>
        <v/>
      </c>
      <c r="AC26" s="24" t="str">
        <f t="shared" si="26"/>
        <v/>
      </c>
      <c r="AD26" s="24" t="str">
        <f t="shared" si="26"/>
        <v/>
      </c>
      <c r="AE26" s="24" t="str">
        <f t="shared" si="26"/>
        <v/>
      </c>
      <c r="AF26" s="24" t="str">
        <f t="shared" si="26"/>
        <v/>
      </c>
      <c r="AG26" s="24" t="str">
        <f t="shared" si="26"/>
        <v/>
      </c>
      <c r="AH26" s="24" t="str">
        <f t="shared" si="26"/>
        <v/>
      </c>
      <c r="AI26" s="24" t="str">
        <f t="shared" si="26"/>
        <v/>
      </c>
      <c r="AJ26" s="24" t="str">
        <f t="shared" si="26"/>
        <v/>
      </c>
      <c r="AK26" s="24" t="str">
        <f t="shared" si="26"/>
        <v/>
      </c>
      <c r="AL26" s="24" t="str">
        <f t="shared" si="27"/>
        <v/>
      </c>
      <c r="AM26" s="24" t="str">
        <f t="shared" si="27"/>
        <v/>
      </c>
      <c r="AN26" s="24" t="str">
        <f t="shared" si="27"/>
        <v/>
      </c>
      <c r="AO26" s="24" t="str">
        <f t="shared" si="27"/>
        <v/>
      </c>
      <c r="AP26" s="24" t="str">
        <f t="shared" si="27"/>
        <v/>
      </c>
      <c r="AQ26" s="24" t="str">
        <f t="shared" si="27"/>
        <v/>
      </c>
      <c r="AR26" s="24" t="str">
        <f t="shared" si="27"/>
        <v/>
      </c>
      <c r="AS26" s="24" t="str">
        <f t="shared" si="27"/>
        <v/>
      </c>
      <c r="AT26" s="24" t="str">
        <f t="shared" si="27"/>
        <v/>
      </c>
      <c r="AU26" s="24" t="str">
        <f t="shared" si="27"/>
        <v/>
      </c>
      <c r="AV26" s="24" t="str">
        <f t="shared" si="28"/>
        <v/>
      </c>
      <c r="AW26" s="24" t="str">
        <f t="shared" si="28"/>
        <v/>
      </c>
      <c r="AX26" s="24" t="str">
        <f t="shared" si="28"/>
        <v/>
      </c>
      <c r="AY26" s="24" t="str">
        <f t="shared" si="28"/>
        <v/>
      </c>
      <c r="AZ26" s="24" t="str">
        <f t="shared" si="28"/>
        <v/>
      </c>
      <c r="BA26" s="24" t="str">
        <f t="shared" si="28"/>
        <v/>
      </c>
      <c r="BB26" s="24" t="str">
        <f t="shared" si="28"/>
        <v/>
      </c>
      <c r="BC26" s="24" t="str">
        <f t="shared" si="28"/>
        <v/>
      </c>
      <c r="BD26" s="24" t="str">
        <f t="shared" si="28"/>
        <v/>
      </c>
      <c r="BE26" s="24" t="str">
        <f t="shared" si="28"/>
        <v/>
      </c>
      <c r="BF26" s="24" t="str">
        <f t="shared" si="29"/>
        <v/>
      </c>
      <c r="BG26" s="24" t="str">
        <f t="shared" si="29"/>
        <v/>
      </c>
      <c r="BH26" s="24" t="str">
        <f t="shared" si="29"/>
        <v/>
      </c>
      <c r="BI26" s="24" t="str">
        <f t="shared" si="29"/>
        <v/>
      </c>
      <c r="BJ26" s="24" t="str">
        <f t="shared" si="29"/>
        <v/>
      </c>
      <c r="BK26" s="24" t="str">
        <f t="shared" si="29"/>
        <v/>
      </c>
    </row>
    <row r="27" spans="1:63" s="2" customFormat="1" ht="30" customHeight="1" x14ac:dyDescent="0.25">
      <c r="A27" s="26" t="s">
        <v>15</v>
      </c>
      <c r="B27" s="21"/>
      <c r="C27" s="21"/>
      <c r="D27" s="18"/>
      <c r="E27" s="19">
        <f>E24+3</f>
        <v>45557</v>
      </c>
      <c r="F27" s="20"/>
      <c r="G27" s="16"/>
      <c r="H27" s="24" t="str">
        <f t="shared" si="24"/>
        <v/>
      </c>
      <c r="I27" s="24" t="str">
        <f t="shared" si="24"/>
        <v/>
      </c>
      <c r="J27" s="24" t="str">
        <f t="shared" si="24"/>
        <v/>
      </c>
      <c r="K27" s="24" t="str">
        <f t="shared" si="24"/>
        <v/>
      </c>
      <c r="L27" s="24" t="str">
        <f t="shared" si="24"/>
        <v/>
      </c>
      <c r="M27" s="24" t="str">
        <f t="shared" si="24"/>
        <v/>
      </c>
      <c r="N27" s="24" t="str">
        <f t="shared" si="24"/>
        <v/>
      </c>
      <c r="O27" s="24" t="str">
        <f t="shared" si="24"/>
        <v/>
      </c>
      <c r="P27" s="24" t="str">
        <f t="shared" si="24"/>
        <v/>
      </c>
      <c r="Q27" s="24" t="str">
        <f t="shared" si="24"/>
        <v/>
      </c>
      <c r="R27" s="24" t="str">
        <f t="shared" si="25"/>
        <v/>
      </c>
      <c r="S27" s="24" t="str">
        <f t="shared" si="25"/>
        <v/>
      </c>
      <c r="T27" s="24" t="str">
        <f t="shared" si="25"/>
        <v/>
      </c>
      <c r="U27" s="24" t="str">
        <f t="shared" si="25"/>
        <v/>
      </c>
      <c r="V27" s="24" t="str">
        <f t="shared" si="25"/>
        <v/>
      </c>
      <c r="W27" s="24" t="str">
        <f t="shared" si="25"/>
        <v/>
      </c>
      <c r="X27" s="24" t="str">
        <f t="shared" si="25"/>
        <v/>
      </c>
      <c r="Y27" s="24" t="str">
        <f t="shared" si="25"/>
        <v/>
      </c>
      <c r="Z27" s="24" t="str">
        <f t="shared" si="25"/>
        <v/>
      </c>
      <c r="AA27" s="24" t="str">
        <f t="shared" si="25"/>
        <v/>
      </c>
      <c r="AB27" s="24" t="str">
        <f t="shared" si="26"/>
        <v/>
      </c>
      <c r="AC27" s="24" t="str">
        <f t="shared" si="26"/>
        <v/>
      </c>
      <c r="AD27" s="24" t="str">
        <f t="shared" si="26"/>
        <v/>
      </c>
      <c r="AE27" s="24" t="str">
        <f t="shared" si="26"/>
        <v/>
      </c>
      <c r="AF27" s="24" t="str">
        <f t="shared" si="26"/>
        <v/>
      </c>
      <c r="AG27" s="24" t="str">
        <f t="shared" si="26"/>
        <v/>
      </c>
      <c r="AH27" s="24" t="str">
        <f t="shared" si="26"/>
        <v/>
      </c>
      <c r="AI27" s="24" t="str">
        <f t="shared" si="26"/>
        <v/>
      </c>
      <c r="AJ27" s="24" t="str">
        <f t="shared" si="26"/>
        <v/>
      </c>
      <c r="AK27" s="24" t="str">
        <f t="shared" si="26"/>
        <v/>
      </c>
      <c r="AL27" s="24" t="str">
        <f t="shared" si="27"/>
        <v/>
      </c>
      <c r="AM27" s="24" t="str">
        <f t="shared" si="27"/>
        <v/>
      </c>
      <c r="AN27" s="24" t="str">
        <f t="shared" si="27"/>
        <v/>
      </c>
      <c r="AO27" s="24" t="str">
        <f t="shared" si="27"/>
        <v/>
      </c>
      <c r="AP27" s="24" t="str">
        <f t="shared" si="27"/>
        <v/>
      </c>
      <c r="AQ27" s="24" t="str">
        <f t="shared" si="27"/>
        <v/>
      </c>
      <c r="AR27" s="24" t="str">
        <f t="shared" si="27"/>
        <v/>
      </c>
      <c r="AS27" s="24" t="str">
        <f t="shared" si="27"/>
        <v/>
      </c>
      <c r="AT27" s="24" t="str">
        <f t="shared" si="27"/>
        <v/>
      </c>
      <c r="AU27" s="24" t="str">
        <f t="shared" si="27"/>
        <v/>
      </c>
      <c r="AV27" s="24" t="str">
        <f t="shared" si="28"/>
        <v/>
      </c>
      <c r="AW27" s="24" t="str">
        <f t="shared" si="28"/>
        <v/>
      </c>
      <c r="AX27" s="24" t="str">
        <f t="shared" si="28"/>
        <v/>
      </c>
      <c r="AY27" s="24" t="str">
        <f t="shared" si="28"/>
        <v/>
      </c>
      <c r="AZ27" s="24" t="str">
        <f t="shared" si="28"/>
        <v/>
      </c>
      <c r="BA27" s="24" t="str">
        <f t="shared" si="28"/>
        <v/>
      </c>
      <c r="BB27" s="24" t="str">
        <f t="shared" si="28"/>
        <v/>
      </c>
      <c r="BC27" s="24" t="str">
        <f t="shared" si="28"/>
        <v/>
      </c>
      <c r="BD27" s="24" t="str">
        <f t="shared" si="28"/>
        <v/>
      </c>
      <c r="BE27" s="24" t="str">
        <f t="shared" si="28"/>
        <v/>
      </c>
      <c r="BF27" s="24" t="str">
        <f t="shared" si="29"/>
        <v/>
      </c>
      <c r="BG27" s="24" t="str">
        <f t="shared" si="29"/>
        <v/>
      </c>
      <c r="BH27" s="24" t="str">
        <f t="shared" si="29"/>
        <v/>
      </c>
      <c r="BI27" s="24" t="str">
        <f t="shared" si="29"/>
        <v/>
      </c>
      <c r="BJ27" s="24" t="str">
        <f t="shared" si="29"/>
        <v/>
      </c>
      <c r="BK27" s="24" t="str">
        <f t="shared" si="29"/>
        <v/>
      </c>
    </row>
    <row r="28" spans="1:63" s="2" customFormat="1" ht="30" customHeight="1" x14ac:dyDescent="0.25">
      <c r="A28" s="26" t="s">
        <v>17</v>
      </c>
      <c r="B28" s="21"/>
      <c r="C28" s="21"/>
      <c r="D28" s="18"/>
      <c r="E28" s="19">
        <f>E24+9</f>
        <v>45563</v>
      </c>
      <c r="F28" s="20"/>
      <c r="G28" s="16"/>
      <c r="H28" s="24" t="str">
        <f t="shared" si="24"/>
        <v/>
      </c>
      <c r="I28" s="24" t="str">
        <f t="shared" si="24"/>
        <v/>
      </c>
      <c r="J28" s="24" t="str">
        <f t="shared" si="24"/>
        <v/>
      </c>
      <c r="K28" s="24" t="str">
        <f t="shared" si="24"/>
        <v/>
      </c>
      <c r="L28" s="24" t="str">
        <f t="shared" si="24"/>
        <v/>
      </c>
      <c r="M28" s="24" t="str">
        <f t="shared" si="24"/>
        <v/>
      </c>
      <c r="N28" s="24" t="str">
        <f t="shared" si="24"/>
        <v/>
      </c>
      <c r="O28" s="24" t="str">
        <f t="shared" si="24"/>
        <v/>
      </c>
      <c r="P28" s="24" t="str">
        <f t="shared" si="24"/>
        <v/>
      </c>
      <c r="Q28" s="24" t="str">
        <f t="shared" si="24"/>
        <v/>
      </c>
      <c r="R28" s="24" t="str">
        <f t="shared" si="25"/>
        <v/>
      </c>
      <c r="S28" s="24" t="str">
        <f t="shared" si="25"/>
        <v/>
      </c>
      <c r="T28" s="24" t="str">
        <f t="shared" si="25"/>
        <v/>
      </c>
      <c r="U28" s="24" t="str">
        <f t="shared" si="25"/>
        <v/>
      </c>
      <c r="V28" s="24" t="str">
        <f t="shared" si="25"/>
        <v/>
      </c>
      <c r="W28" s="24" t="str">
        <f t="shared" si="25"/>
        <v/>
      </c>
      <c r="X28" s="24" t="str">
        <f t="shared" si="25"/>
        <v/>
      </c>
      <c r="Y28" s="24" t="str">
        <f t="shared" si="25"/>
        <v/>
      </c>
      <c r="Z28" s="24" t="str">
        <f t="shared" si="25"/>
        <v/>
      </c>
      <c r="AA28" s="24" t="str">
        <f t="shared" si="25"/>
        <v/>
      </c>
      <c r="AB28" s="24" t="str">
        <f t="shared" si="26"/>
        <v/>
      </c>
      <c r="AC28" s="24" t="str">
        <f t="shared" si="26"/>
        <v/>
      </c>
      <c r="AD28" s="24" t="str">
        <f t="shared" si="26"/>
        <v/>
      </c>
      <c r="AE28" s="24" t="str">
        <f t="shared" si="26"/>
        <v/>
      </c>
      <c r="AF28" s="24" t="str">
        <f t="shared" si="26"/>
        <v/>
      </c>
      <c r="AG28" s="24" t="str">
        <f t="shared" si="26"/>
        <v/>
      </c>
      <c r="AH28" s="24" t="str">
        <f t="shared" si="26"/>
        <v/>
      </c>
      <c r="AI28" s="24" t="str">
        <f t="shared" si="26"/>
        <v/>
      </c>
      <c r="AJ28" s="24" t="str">
        <f t="shared" si="26"/>
        <v/>
      </c>
      <c r="AK28" s="24" t="str">
        <f t="shared" si="26"/>
        <v/>
      </c>
      <c r="AL28" s="24" t="str">
        <f t="shared" si="27"/>
        <v/>
      </c>
      <c r="AM28" s="24" t="str">
        <f t="shared" si="27"/>
        <v/>
      </c>
      <c r="AN28" s="24" t="str">
        <f t="shared" si="27"/>
        <v/>
      </c>
      <c r="AO28" s="24" t="str">
        <f t="shared" si="27"/>
        <v/>
      </c>
      <c r="AP28" s="24" t="str">
        <f t="shared" si="27"/>
        <v/>
      </c>
      <c r="AQ28" s="24" t="str">
        <f t="shared" si="27"/>
        <v/>
      </c>
      <c r="AR28" s="24" t="str">
        <f t="shared" si="27"/>
        <v/>
      </c>
      <c r="AS28" s="24" t="str">
        <f t="shared" si="27"/>
        <v/>
      </c>
      <c r="AT28" s="24" t="str">
        <f t="shared" si="27"/>
        <v/>
      </c>
      <c r="AU28" s="24" t="str">
        <f t="shared" si="27"/>
        <v/>
      </c>
      <c r="AV28" s="24" t="str">
        <f t="shared" si="28"/>
        <v/>
      </c>
      <c r="AW28" s="24" t="str">
        <f t="shared" si="28"/>
        <v/>
      </c>
      <c r="AX28" s="24" t="str">
        <f t="shared" si="28"/>
        <v/>
      </c>
      <c r="AY28" s="24" t="str">
        <f t="shared" si="28"/>
        <v/>
      </c>
      <c r="AZ28" s="24" t="str">
        <f t="shared" si="28"/>
        <v/>
      </c>
      <c r="BA28" s="24" t="str">
        <f t="shared" si="28"/>
        <v/>
      </c>
      <c r="BB28" s="24" t="str">
        <f t="shared" si="28"/>
        <v/>
      </c>
      <c r="BC28" s="24" t="str">
        <f t="shared" si="28"/>
        <v/>
      </c>
      <c r="BD28" s="24" t="str">
        <f t="shared" si="28"/>
        <v/>
      </c>
      <c r="BE28" s="24" t="str">
        <f t="shared" si="28"/>
        <v/>
      </c>
      <c r="BF28" s="24" t="str">
        <f t="shared" si="29"/>
        <v/>
      </c>
      <c r="BG28" s="24" t="str">
        <f t="shared" si="29"/>
        <v/>
      </c>
      <c r="BH28" s="24" t="str">
        <f t="shared" si="29"/>
        <v/>
      </c>
      <c r="BI28" s="24" t="str">
        <f t="shared" si="29"/>
        <v/>
      </c>
      <c r="BJ28" s="24" t="str">
        <f t="shared" si="29"/>
        <v/>
      </c>
      <c r="BK28" s="24" t="str">
        <f t="shared" si="29"/>
        <v/>
      </c>
    </row>
    <row r="29" spans="1:63" s="2" customFormat="1" ht="30" customHeight="1" x14ac:dyDescent="0.25">
      <c r="A29" s="26" t="s">
        <v>18</v>
      </c>
      <c r="B29" s="21" t="s">
        <v>16</v>
      </c>
      <c r="C29" s="21"/>
      <c r="D29" s="18"/>
      <c r="E29" s="19">
        <f>E24+11</f>
        <v>45565</v>
      </c>
      <c r="F29" s="20"/>
      <c r="G29" s="16"/>
      <c r="H29" s="24" t="str">
        <f t="shared" si="24"/>
        <v/>
      </c>
      <c r="I29" s="24" t="str">
        <f t="shared" si="24"/>
        <v/>
      </c>
      <c r="J29" s="24" t="str">
        <f t="shared" si="24"/>
        <v/>
      </c>
      <c r="K29" s="24" t="str">
        <f t="shared" si="24"/>
        <v/>
      </c>
      <c r="L29" s="24" t="str">
        <f t="shared" si="24"/>
        <v/>
      </c>
      <c r="M29" s="24" t="str">
        <f t="shared" si="24"/>
        <v/>
      </c>
      <c r="N29" s="24" t="str">
        <f t="shared" si="24"/>
        <v/>
      </c>
      <c r="O29" s="24" t="str">
        <f t="shared" si="24"/>
        <v/>
      </c>
      <c r="P29" s="24" t="str">
        <f t="shared" si="24"/>
        <v/>
      </c>
      <c r="Q29" s="24" t="str">
        <f t="shared" si="24"/>
        <v/>
      </c>
      <c r="R29" s="24" t="str">
        <f t="shared" si="25"/>
        <v/>
      </c>
      <c r="S29" s="24" t="str">
        <f t="shared" si="25"/>
        <v/>
      </c>
      <c r="T29" s="24" t="str">
        <f t="shared" si="25"/>
        <v/>
      </c>
      <c r="U29" s="24" t="str">
        <f t="shared" si="25"/>
        <v/>
      </c>
      <c r="V29" s="24" t="str">
        <f t="shared" si="25"/>
        <v/>
      </c>
      <c r="W29" s="24" t="str">
        <f t="shared" si="25"/>
        <v/>
      </c>
      <c r="X29" s="24" t="str">
        <f t="shared" si="25"/>
        <v/>
      </c>
      <c r="Y29" s="24" t="str">
        <f t="shared" si="25"/>
        <v/>
      </c>
      <c r="Z29" s="24" t="str">
        <f t="shared" si="25"/>
        <v/>
      </c>
      <c r="AA29" s="24" t="str">
        <f t="shared" si="25"/>
        <v/>
      </c>
      <c r="AB29" s="24" t="str">
        <f t="shared" si="26"/>
        <v/>
      </c>
      <c r="AC29" s="24" t="str">
        <f t="shared" si="26"/>
        <v/>
      </c>
      <c r="AD29" s="24" t="str">
        <f t="shared" si="26"/>
        <v/>
      </c>
      <c r="AE29" s="24" t="str">
        <f t="shared" si="26"/>
        <v/>
      </c>
      <c r="AF29" s="24" t="str">
        <f t="shared" si="26"/>
        <v/>
      </c>
      <c r="AG29" s="24" t="str">
        <f t="shared" si="26"/>
        <v/>
      </c>
      <c r="AH29" s="24" t="str">
        <f t="shared" si="26"/>
        <v/>
      </c>
      <c r="AI29" s="24" t="str">
        <f t="shared" si="26"/>
        <v/>
      </c>
      <c r="AJ29" s="24" t="str">
        <f t="shared" si="26"/>
        <v/>
      </c>
      <c r="AK29" s="24" t="str">
        <f t="shared" si="26"/>
        <v/>
      </c>
      <c r="AL29" s="24" t="str">
        <f t="shared" si="27"/>
        <v/>
      </c>
      <c r="AM29" s="24" t="str">
        <f t="shared" si="27"/>
        <v/>
      </c>
      <c r="AN29" s="24" t="str">
        <f t="shared" si="27"/>
        <v/>
      </c>
      <c r="AO29" s="24" t="str">
        <f t="shared" si="27"/>
        <v/>
      </c>
      <c r="AP29" s="24" t="str">
        <f t="shared" si="27"/>
        <v/>
      </c>
      <c r="AQ29" s="24" t="str">
        <f t="shared" si="27"/>
        <v/>
      </c>
      <c r="AR29" s="24" t="str">
        <f t="shared" si="27"/>
        <v/>
      </c>
      <c r="AS29" s="24" t="str">
        <f t="shared" si="27"/>
        <v/>
      </c>
      <c r="AT29" s="24" t="str">
        <f t="shared" si="27"/>
        <v/>
      </c>
      <c r="AU29" s="24" t="str">
        <f t="shared" si="27"/>
        <v/>
      </c>
      <c r="AV29" s="24" t="str">
        <f t="shared" si="28"/>
        <v/>
      </c>
      <c r="AW29" s="24" t="str">
        <f t="shared" si="28"/>
        <v/>
      </c>
      <c r="AX29" s="24" t="str">
        <f t="shared" si="28"/>
        <v/>
      </c>
      <c r="AY29" s="24" t="str">
        <f t="shared" si="28"/>
        <v/>
      </c>
      <c r="AZ29" s="24" t="str">
        <f t="shared" si="28"/>
        <v/>
      </c>
      <c r="BA29" s="24" t="str">
        <f t="shared" si="28"/>
        <v/>
      </c>
      <c r="BB29" s="24" t="str">
        <f t="shared" si="28"/>
        <v/>
      </c>
      <c r="BC29" s="24" t="str">
        <f t="shared" si="28"/>
        <v/>
      </c>
      <c r="BD29" s="24" t="str">
        <f t="shared" si="28"/>
        <v/>
      </c>
      <c r="BE29" s="24" t="str">
        <f t="shared" si="28"/>
        <v/>
      </c>
      <c r="BF29" s="24" t="str">
        <f t="shared" si="29"/>
        <v/>
      </c>
      <c r="BG29" s="24" t="str">
        <f t="shared" si="29"/>
        <v/>
      </c>
      <c r="BH29" s="24" t="str">
        <f t="shared" si="29"/>
        <v/>
      </c>
      <c r="BI29" s="24" t="str">
        <f t="shared" si="29"/>
        <v/>
      </c>
      <c r="BJ29" s="24" t="str">
        <f t="shared" si="29"/>
        <v/>
      </c>
      <c r="BK29" s="24" t="str">
        <f t="shared" si="29"/>
        <v/>
      </c>
    </row>
    <row r="30" spans="1:63" s="2" customFormat="1" ht="30" customHeight="1" x14ac:dyDescent="0.25">
      <c r="A30" s="26" t="s">
        <v>19</v>
      </c>
      <c r="B30" s="21"/>
      <c r="C30" s="21"/>
      <c r="D30" s="18"/>
      <c r="E30" s="19"/>
      <c r="F30" s="20"/>
      <c r="G30" s="16"/>
      <c r="H30" s="24" t="str">
        <f t="shared" si="24"/>
        <v/>
      </c>
      <c r="I30" s="24" t="str">
        <f t="shared" si="24"/>
        <v/>
      </c>
      <c r="J30" s="24" t="str">
        <f t="shared" si="24"/>
        <v/>
      </c>
      <c r="K30" s="24" t="str">
        <f t="shared" si="24"/>
        <v/>
      </c>
      <c r="L30" s="24" t="str">
        <f t="shared" si="24"/>
        <v/>
      </c>
      <c r="M30" s="24" t="str">
        <f t="shared" si="24"/>
        <v/>
      </c>
      <c r="N30" s="24" t="str">
        <f t="shared" si="24"/>
        <v/>
      </c>
      <c r="O30" s="24" t="str">
        <f t="shared" si="24"/>
        <v/>
      </c>
      <c r="P30" s="24" t="str">
        <f t="shared" si="24"/>
        <v/>
      </c>
      <c r="Q30" s="24" t="str">
        <f t="shared" si="24"/>
        <v/>
      </c>
      <c r="R30" s="24" t="str">
        <f t="shared" si="25"/>
        <v/>
      </c>
      <c r="S30" s="24" t="str">
        <f t="shared" si="25"/>
        <v/>
      </c>
      <c r="T30" s="24" t="str">
        <f t="shared" si="25"/>
        <v/>
      </c>
      <c r="U30" s="24" t="str">
        <f t="shared" si="25"/>
        <v/>
      </c>
      <c r="V30" s="24" t="str">
        <f t="shared" si="25"/>
        <v/>
      </c>
      <c r="W30" s="24" t="str">
        <f t="shared" si="25"/>
        <v/>
      </c>
      <c r="X30" s="24" t="str">
        <f t="shared" si="25"/>
        <v/>
      </c>
      <c r="Y30" s="24" t="str">
        <f t="shared" si="25"/>
        <v/>
      </c>
      <c r="Z30" s="24" t="str">
        <f t="shared" si="25"/>
        <v/>
      </c>
      <c r="AA30" s="24" t="str">
        <f t="shared" si="25"/>
        <v/>
      </c>
      <c r="AB30" s="24" t="str">
        <f t="shared" si="26"/>
        <v/>
      </c>
      <c r="AC30" s="24" t="str">
        <f t="shared" si="26"/>
        <v/>
      </c>
      <c r="AD30" s="24" t="str">
        <f t="shared" si="26"/>
        <v/>
      </c>
      <c r="AE30" s="24" t="str">
        <f t="shared" si="26"/>
        <v/>
      </c>
      <c r="AF30" s="24" t="str">
        <f t="shared" si="26"/>
        <v/>
      </c>
      <c r="AG30" s="24" t="str">
        <f t="shared" si="26"/>
        <v/>
      </c>
      <c r="AH30" s="24" t="str">
        <f t="shared" si="26"/>
        <v/>
      </c>
      <c r="AI30" s="24" t="str">
        <f t="shared" si="26"/>
        <v/>
      </c>
      <c r="AJ30" s="24" t="str">
        <f t="shared" si="26"/>
        <v/>
      </c>
      <c r="AK30" s="24" t="str">
        <f t="shared" si="26"/>
        <v/>
      </c>
      <c r="AL30" s="24" t="str">
        <f t="shared" si="27"/>
        <v/>
      </c>
      <c r="AM30" s="24" t="str">
        <f t="shared" si="27"/>
        <v/>
      </c>
      <c r="AN30" s="24" t="str">
        <f t="shared" si="27"/>
        <v/>
      </c>
      <c r="AO30" s="24" t="str">
        <f t="shared" si="27"/>
        <v/>
      </c>
      <c r="AP30" s="24" t="str">
        <f t="shared" si="27"/>
        <v/>
      </c>
      <c r="AQ30" s="24" t="str">
        <f t="shared" si="27"/>
        <v/>
      </c>
      <c r="AR30" s="24" t="str">
        <f t="shared" si="27"/>
        <v/>
      </c>
      <c r="AS30" s="24" t="str">
        <f t="shared" si="27"/>
        <v/>
      </c>
      <c r="AT30" s="24" t="str">
        <f t="shared" si="27"/>
        <v/>
      </c>
      <c r="AU30" s="24" t="str">
        <f t="shared" si="27"/>
        <v/>
      </c>
      <c r="AV30" s="24" t="str">
        <f t="shared" si="28"/>
        <v/>
      </c>
      <c r="AW30" s="24" t="str">
        <f t="shared" si="28"/>
        <v/>
      </c>
      <c r="AX30" s="24" t="str">
        <f t="shared" si="28"/>
        <v/>
      </c>
      <c r="AY30" s="24" t="str">
        <f t="shared" si="28"/>
        <v/>
      </c>
      <c r="AZ30" s="24" t="str">
        <f t="shared" si="28"/>
        <v/>
      </c>
      <c r="BA30" s="24" t="str">
        <f t="shared" si="28"/>
        <v/>
      </c>
      <c r="BB30" s="24" t="str">
        <f t="shared" si="28"/>
        <v/>
      </c>
      <c r="BC30" s="24" t="str">
        <f t="shared" si="28"/>
        <v/>
      </c>
      <c r="BD30" s="24" t="str">
        <f t="shared" si="28"/>
        <v/>
      </c>
      <c r="BE30" s="24" t="str">
        <f t="shared" si="28"/>
        <v/>
      </c>
      <c r="BF30" s="24" t="str">
        <f t="shared" si="29"/>
        <v/>
      </c>
      <c r="BG30" s="24" t="str">
        <f t="shared" si="29"/>
        <v/>
      </c>
      <c r="BH30" s="24" t="str">
        <f t="shared" si="29"/>
        <v/>
      </c>
      <c r="BI30" s="24" t="str">
        <f t="shared" si="29"/>
        <v/>
      </c>
      <c r="BJ30" s="24" t="str">
        <f t="shared" si="29"/>
        <v/>
      </c>
      <c r="BK30" s="24" t="str">
        <f t="shared" si="29"/>
        <v/>
      </c>
    </row>
    <row r="31" spans="1:63" s="2" customFormat="1" ht="30" customHeight="1" x14ac:dyDescent="0.25">
      <c r="A31" s="26" t="s">
        <v>20</v>
      </c>
      <c r="B31" s="21"/>
      <c r="C31" s="21"/>
      <c r="D31" s="18"/>
      <c r="E31" s="19"/>
      <c r="F31" s="20"/>
      <c r="G31" s="16"/>
      <c r="H31" s="24" t="str">
        <f t="shared" si="24"/>
        <v/>
      </c>
      <c r="I31" s="24" t="str">
        <f t="shared" si="24"/>
        <v/>
      </c>
      <c r="J31" s="24" t="str">
        <f t="shared" si="24"/>
        <v/>
      </c>
      <c r="K31" s="24" t="str">
        <f t="shared" si="24"/>
        <v/>
      </c>
      <c r="L31" s="24" t="str">
        <f t="shared" si="24"/>
        <v/>
      </c>
      <c r="M31" s="24" t="str">
        <f t="shared" si="24"/>
        <v/>
      </c>
      <c r="N31" s="24" t="str">
        <f t="shared" si="24"/>
        <v/>
      </c>
      <c r="O31" s="24" t="str">
        <f t="shared" si="24"/>
        <v/>
      </c>
      <c r="P31" s="24" t="str">
        <f t="shared" si="24"/>
        <v/>
      </c>
      <c r="Q31" s="24" t="str">
        <f t="shared" si="24"/>
        <v/>
      </c>
      <c r="R31" s="24" t="str">
        <f t="shared" si="25"/>
        <v/>
      </c>
      <c r="S31" s="24" t="str">
        <f t="shared" si="25"/>
        <v/>
      </c>
      <c r="T31" s="24" t="str">
        <f t="shared" si="25"/>
        <v/>
      </c>
      <c r="U31" s="24" t="str">
        <f t="shared" si="25"/>
        <v/>
      </c>
      <c r="V31" s="24" t="str">
        <f t="shared" si="25"/>
        <v/>
      </c>
      <c r="W31" s="24" t="str">
        <f t="shared" si="25"/>
        <v/>
      </c>
      <c r="X31" s="24" t="str">
        <f t="shared" si="25"/>
        <v/>
      </c>
      <c r="Y31" s="24" t="str">
        <f t="shared" si="25"/>
        <v/>
      </c>
      <c r="Z31" s="24" t="str">
        <f t="shared" si="25"/>
        <v/>
      </c>
      <c r="AA31" s="24" t="str">
        <f t="shared" si="25"/>
        <v/>
      </c>
      <c r="AB31" s="24" t="str">
        <f t="shared" si="26"/>
        <v/>
      </c>
      <c r="AC31" s="24" t="str">
        <f t="shared" si="26"/>
        <v/>
      </c>
      <c r="AD31" s="24" t="str">
        <f t="shared" si="26"/>
        <v/>
      </c>
      <c r="AE31" s="24" t="str">
        <f t="shared" si="26"/>
        <v/>
      </c>
      <c r="AF31" s="24" t="str">
        <f t="shared" si="26"/>
        <v/>
      </c>
      <c r="AG31" s="24" t="str">
        <f t="shared" si="26"/>
        <v/>
      </c>
      <c r="AH31" s="24" t="str">
        <f t="shared" si="26"/>
        <v/>
      </c>
      <c r="AI31" s="24" t="str">
        <f t="shared" si="26"/>
        <v/>
      </c>
      <c r="AJ31" s="24" t="str">
        <f t="shared" si="26"/>
        <v/>
      </c>
      <c r="AK31" s="24" t="str">
        <f t="shared" si="26"/>
        <v/>
      </c>
      <c r="AL31" s="24" t="str">
        <f t="shared" si="27"/>
        <v/>
      </c>
      <c r="AM31" s="24" t="str">
        <f t="shared" si="27"/>
        <v/>
      </c>
      <c r="AN31" s="24" t="str">
        <f t="shared" si="27"/>
        <v/>
      </c>
      <c r="AO31" s="24" t="str">
        <f t="shared" si="27"/>
        <v/>
      </c>
      <c r="AP31" s="24" t="str">
        <f t="shared" si="27"/>
        <v/>
      </c>
      <c r="AQ31" s="24" t="str">
        <f t="shared" si="27"/>
        <v/>
      </c>
      <c r="AR31" s="24" t="str">
        <f t="shared" si="27"/>
        <v/>
      </c>
      <c r="AS31" s="24" t="str">
        <f t="shared" si="27"/>
        <v/>
      </c>
      <c r="AT31" s="24" t="str">
        <f t="shared" si="27"/>
        <v/>
      </c>
      <c r="AU31" s="24" t="str">
        <f t="shared" si="27"/>
        <v/>
      </c>
      <c r="AV31" s="24" t="str">
        <f t="shared" si="28"/>
        <v/>
      </c>
      <c r="AW31" s="24" t="str">
        <f t="shared" si="28"/>
        <v/>
      </c>
      <c r="AX31" s="24" t="str">
        <f t="shared" si="28"/>
        <v/>
      </c>
      <c r="AY31" s="24" t="str">
        <f t="shared" si="28"/>
        <v/>
      </c>
      <c r="AZ31" s="24" t="str">
        <f t="shared" si="28"/>
        <v/>
      </c>
      <c r="BA31" s="24" t="str">
        <f t="shared" si="28"/>
        <v/>
      </c>
      <c r="BB31" s="24" t="str">
        <f t="shared" si="28"/>
        <v/>
      </c>
      <c r="BC31" s="24" t="str">
        <f t="shared" si="28"/>
        <v/>
      </c>
      <c r="BD31" s="24" t="str">
        <f t="shared" si="28"/>
        <v/>
      </c>
      <c r="BE31" s="24" t="str">
        <f t="shared" si="28"/>
        <v/>
      </c>
      <c r="BF31" s="24" t="str">
        <f t="shared" si="29"/>
        <v/>
      </c>
      <c r="BG31" s="24" t="str">
        <f t="shared" si="29"/>
        <v/>
      </c>
      <c r="BH31" s="24" t="str">
        <f t="shared" si="29"/>
        <v/>
      </c>
      <c r="BI31" s="24" t="str">
        <f t="shared" si="29"/>
        <v/>
      </c>
      <c r="BJ31" s="24" t="str">
        <f t="shared" si="29"/>
        <v/>
      </c>
      <c r="BK31" s="24" t="str">
        <f t="shared" si="29"/>
        <v/>
      </c>
    </row>
    <row r="32" spans="1:63" s="2" customFormat="1" ht="30" customHeight="1" x14ac:dyDescent="0.25">
      <c r="A32" s="26"/>
      <c r="B32" s="21"/>
      <c r="C32" s="21"/>
      <c r="D32" s="18"/>
      <c r="E32" s="19"/>
      <c r="F32" s="20"/>
      <c r="G32" s="16"/>
      <c r="H32" s="24" t="str">
        <f t="shared" si="24"/>
        <v/>
      </c>
      <c r="I32" s="24" t="str">
        <f t="shared" si="24"/>
        <v/>
      </c>
      <c r="J32" s="24" t="str">
        <f t="shared" si="24"/>
        <v/>
      </c>
      <c r="K32" s="24" t="str">
        <f t="shared" si="24"/>
        <v/>
      </c>
      <c r="L32" s="24" t="str">
        <f t="shared" si="24"/>
        <v/>
      </c>
      <c r="M32" s="24" t="str">
        <f t="shared" si="24"/>
        <v/>
      </c>
      <c r="N32" s="24" t="str">
        <f t="shared" si="24"/>
        <v/>
      </c>
      <c r="O32" s="24" t="str">
        <f t="shared" si="24"/>
        <v/>
      </c>
      <c r="P32" s="24" t="str">
        <f t="shared" si="24"/>
        <v/>
      </c>
      <c r="Q32" s="24" t="str">
        <f t="shared" si="24"/>
        <v/>
      </c>
      <c r="R32" s="24" t="str">
        <f t="shared" si="25"/>
        <v/>
      </c>
      <c r="S32" s="24" t="str">
        <f t="shared" si="25"/>
        <v/>
      </c>
      <c r="T32" s="24" t="str">
        <f t="shared" si="25"/>
        <v/>
      </c>
      <c r="U32" s="24" t="str">
        <f t="shared" si="25"/>
        <v/>
      </c>
      <c r="V32" s="24" t="str">
        <f t="shared" si="25"/>
        <v/>
      </c>
      <c r="W32" s="24" t="str">
        <f t="shared" si="25"/>
        <v/>
      </c>
      <c r="X32" s="24" t="str">
        <f t="shared" si="25"/>
        <v/>
      </c>
      <c r="Y32" s="24" t="str">
        <f t="shared" si="25"/>
        <v/>
      </c>
      <c r="Z32" s="24" t="str">
        <f t="shared" si="25"/>
        <v/>
      </c>
      <c r="AA32" s="24" t="str">
        <f t="shared" si="25"/>
        <v/>
      </c>
      <c r="AB32" s="24" t="str">
        <f t="shared" si="26"/>
        <v/>
      </c>
      <c r="AC32" s="24" t="str">
        <f t="shared" si="26"/>
        <v/>
      </c>
      <c r="AD32" s="24" t="str">
        <f t="shared" si="26"/>
        <v/>
      </c>
      <c r="AE32" s="24" t="str">
        <f t="shared" si="26"/>
        <v/>
      </c>
      <c r="AF32" s="24" t="str">
        <f t="shared" si="26"/>
        <v/>
      </c>
      <c r="AG32" s="24" t="str">
        <f t="shared" si="26"/>
        <v/>
      </c>
      <c r="AH32" s="24" t="str">
        <f t="shared" si="26"/>
        <v/>
      </c>
      <c r="AI32" s="24" t="str">
        <f t="shared" si="26"/>
        <v/>
      </c>
      <c r="AJ32" s="24" t="str">
        <f t="shared" si="26"/>
        <v/>
      </c>
      <c r="AK32" s="24" t="str">
        <f t="shared" si="26"/>
        <v/>
      </c>
      <c r="AL32" s="24" t="str">
        <f t="shared" si="27"/>
        <v/>
      </c>
      <c r="AM32" s="24" t="str">
        <f t="shared" si="27"/>
        <v/>
      </c>
      <c r="AN32" s="24" t="str">
        <f t="shared" si="27"/>
        <v/>
      </c>
      <c r="AO32" s="24" t="str">
        <f t="shared" si="27"/>
        <v/>
      </c>
      <c r="AP32" s="24" t="str">
        <f t="shared" si="27"/>
        <v/>
      </c>
      <c r="AQ32" s="24" t="str">
        <f t="shared" si="27"/>
        <v/>
      </c>
      <c r="AR32" s="24" t="str">
        <f t="shared" si="27"/>
        <v/>
      </c>
      <c r="AS32" s="24" t="str">
        <f t="shared" si="27"/>
        <v/>
      </c>
      <c r="AT32" s="24" t="str">
        <f t="shared" si="27"/>
        <v/>
      </c>
      <c r="AU32" s="24" t="str">
        <f t="shared" si="27"/>
        <v/>
      </c>
      <c r="AV32" s="24" t="str">
        <f t="shared" si="28"/>
        <v/>
      </c>
      <c r="AW32" s="24" t="str">
        <f t="shared" si="28"/>
        <v/>
      </c>
      <c r="AX32" s="24" t="str">
        <f t="shared" si="28"/>
        <v/>
      </c>
      <c r="AY32" s="24" t="str">
        <f t="shared" si="28"/>
        <v/>
      </c>
      <c r="AZ32" s="24" t="str">
        <f t="shared" si="28"/>
        <v/>
      </c>
      <c r="BA32" s="24" t="str">
        <f t="shared" si="28"/>
        <v/>
      </c>
      <c r="BB32" s="24" t="str">
        <f t="shared" si="28"/>
        <v/>
      </c>
      <c r="BC32" s="24" t="str">
        <f t="shared" si="28"/>
        <v/>
      </c>
      <c r="BD32" s="24" t="str">
        <f t="shared" si="28"/>
        <v/>
      </c>
      <c r="BE32" s="24" t="str">
        <f t="shared" si="28"/>
        <v/>
      </c>
      <c r="BF32" s="24" t="str">
        <f t="shared" si="29"/>
        <v/>
      </c>
      <c r="BG32" s="24" t="str">
        <f t="shared" si="29"/>
        <v/>
      </c>
      <c r="BH32" s="24" t="str">
        <f t="shared" si="29"/>
        <v/>
      </c>
      <c r="BI32" s="24" t="str">
        <f t="shared" si="29"/>
        <v/>
      </c>
      <c r="BJ32" s="24" t="str">
        <f t="shared" si="29"/>
        <v/>
      </c>
      <c r="BK32" s="24" t="str">
        <f t="shared" si="29"/>
        <v/>
      </c>
    </row>
    <row r="33" spans="1:63" s="2" customFormat="1" ht="30" customHeight="1" thickBot="1" x14ac:dyDescent="0.3">
      <c r="A33" s="15" t="s">
        <v>23</v>
      </c>
      <c r="B33" s="15"/>
      <c r="C33" s="15"/>
      <c r="D33" s="15"/>
      <c r="E33" s="28"/>
      <c r="F33" s="15"/>
      <c r="G33" s="25"/>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row>
    <row r="34" spans="1:63" ht="30" customHeight="1" x14ac:dyDescent="0.25">
      <c r="C34" s="5"/>
      <c r="F34" s="13"/>
      <c r="G34" s="4"/>
    </row>
    <row r="35" spans="1:63" ht="30" customHeight="1" x14ac:dyDescent="0.25">
      <c r="C35" s="6"/>
    </row>
  </sheetData>
  <mergeCells count="12">
    <mergeCell ref="A3:B3"/>
    <mergeCell ref="A2:B2"/>
    <mergeCell ref="A4:B4"/>
    <mergeCell ref="A5:B5"/>
    <mergeCell ref="AB2:AF2"/>
    <mergeCell ref="W2:Z2"/>
    <mergeCell ref="C3:D3"/>
    <mergeCell ref="C4:D4"/>
    <mergeCell ref="E3:F3"/>
    <mergeCell ref="H2:K2"/>
    <mergeCell ref="M2:P2"/>
    <mergeCell ref="R2:U2"/>
  </mergeCells>
  <conditionalFormatting sqref="D7:D32">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4:AL4">
    <cfRule type="expression" dxfId="37" priority="11">
      <formula>H$5&lt;=EOMONTH($H$5,0)</formula>
    </cfRule>
  </conditionalFormatting>
  <conditionalFormatting sqref="H4:BK4">
    <cfRule type="expression" dxfId="36" priority="6">
      <formula>AND(H$5&lt;=EOMONTH($H$5,1),H$5&gt;EOMONTH($H$5,0))</formula>
    </cfRule>
  </conditionalFormatting>
  <conditionalFormatting sqref="H5:BK33">
    <cfRule type="expression" dxfId="35" priority="5">
      <formula>AND(TODAY()&gt;=H$5,TODAY()&lt;I$5)</formula>
    </cfRule>
  </conditionalFormatting>
  <conditionalFormatting sqref="H8:BK17">
    <cfRule type="expression" dxfId="34" priority="89" stopIfTrue="1">
      <formula>AND(LEN($B8)=0,H$5&gt;=$E8,H$5&lt;=$E8+$F8-1)</formula>
    </cfRule>
    <cfRule type="expression" dxfId="33" priority="85" stopIfTrue="1">
      <formula>AND($B8="Low Risk",H$5&gt;=$E8,H$5&lt;=$E8+$F8-1)</formula>
    </cfRule>
    <cfRule type="expression" dxfId="32" priority="86" stopIfTrue="1">
      <formula>AND($B8="High Risk",H$5&gt;=$E8,H$5&lt;=$E8+$F8-1)</formula>
    </cfRule>
    <cfRule type="expression" dxfId="31" priority="87" stopIfTrue="1">
      <formula>AND($B8="On Track",H$5&gt;=$E8,H$5&lt;=$E8+$F8-1)</formula>
    </cfRule>
    <cfRule type="expression" dxfId="30" priority="88" stopIfTrue="1">
      <formula>AND($B8="Med Risk",H$5&gt;=$E8,H$5&lt;=$E8+$F8-1)</formula>
    </cfRule>
  </conditionalFormatting>
  <conditionalFormatting sqref="H13:BK13">
    <cfRule type="expression" dxfId="29" priority="2">
      <formula>H$7="T"</formula>
    </cfRule>
    <cfRule type="expression" dxfId="28" priority="3">
      <formula>AND(OR(LEFT(TEXT(XDI$5,"ddd"),1)="T", LEFT(TEXT(XDI$5,"ddd"),1)="F"), COLUMN(XDI13)-COLUMN($H$13)+1 &lt;= $A$1)</formula>
    </cfRule>
    <cfRule type="expression" dxfId="27" priority="4">
      <formula>AND(OR(LEFT(TEXT(H$5,"ddd"),1)="T", LEFT(TEXT(H$5,"ddd"),1)="F"), H$5&lt;=A$1)</formula>
    </cfRule>
    <cfRule type="expression" dxfId="26" priority="1">
      <formula>H$7="F"</formula>
    </cfRule>
  </conditionalFormatting>
  <conditionalFormatting sqref="H18:BK18">
    <cfRule type="expression" dxfId="25" priority="143" stopIfTrue="1">
      <formula>AND(LEN($B19)=0,H$5&gt;=$E19,H$5&lt;=$E19+$F19-1)</formula>
    </cfRule>
    <cfRule type="expression" dxfId="24" priority="139" stopIfTrue="1">
      <formula>AND($B19="Low Risk",H$5&gt;=$E19,H$5&lt;=$E19+$F19-1)</formula>
    </cfRule>
    <cfRule type="expression" dxfId="23" priority="140" stopIfTrue="1">
      <formula>AND($B19="High Risk",H$5&gt;=$E19,H$5&lt;=$E19+$F19-1)</formula>
    </cfRule>
    <cfRule type="expression" dxfId="22" priority="141" stopIfTrue="1">
      <formula>AND($B19="On Track",H$5&gt;=$E19,H$5&lt;=$E19+$F19-1)</formula>
    </cfRule>
    <cfRule type="expression" dxfId="21" priority="142" stopIfTrue="1">
      <formula>AND($B19="Med Risk",H$5&gt;=$E19,H$5&lt;=$E19+$F19-1)</formula>
    </cfRule>
  </conditionalFormatting>
  <conditionalFormatting sqref="H19:BK19">
    <cfRule type="expression" dxfId="20" priority="183" stopIfTrue="1">
      <formula>AND($B20="Low Risk",H$5&gt;=$E20,H$5&lt;=$E20+$F20-1)</formula>
    </cfRule>
    <cfRule type="expression" dxfId="19" priority="184" stopIfTrue="1">
      <formula>AND($B20="High Risk",H$5&gt;=$E20,H$5&lt;=$E20+$F20-1)</formula>
    </cfRule>
    <cfRule type="expression" dxfId="18" priority="185" stopIfTrue="1">
      <formula>AND($B20="On Track",H$5&gt;=$E20,H$5&lt;=$E20+$F20-1)</formula>
    </cfRule>
    <cfRule type="expression" dxfId="17" priority="186" stopIfTrue="1">
      <formula>AND($B20="Med Risk",H$5&gt;=$E20,H$5&lt;=$E20+$F20-1)</formula>
    </cfRule>
    <cfRule type="expression" dxfId="16" priority="187" stopIfTrue="1">
      <formula>AND(LEN($B20)=0,H$5&gt;=$E20,H$5&lt;=$E20+$F20-1)</formula>
    </cfRule>
  </conditionalFormatting>
  <conditionalFormatting sqref="H20:BK20">
    <cfRule type="expression" dxfId="15" priority="177" stopIfTrue="1">
      <formula>AND($B18="Low Risk",H$5&gt;=$E18,H$5&lt;=$E18+$F18-1)</formula>
    </cfRule>
    <cfRule type="expression" dxfId="14" priority="178" stopIfTrue="1">
      <formula>AND($B18="High Risk",H$5&gt;=$E18,H$5&lt;=$E18+$F18-1)</formula>
    </cfRule>
    <cfRule type="expression" dxfId="13" priority="179" stopIfTrue="1">
      <formula>AND($B18="On Track",H$5&gt;=$E18,H$5&lt;=$E18+$F18-1)</formula>
    </cfRule>
    <cfRule type="expression" dxfId="12" priority="180" stopIfTrue="1">
      <formula>AND($B18="Med Risk",H$5&gt;=$E18,H$5&lt;=$E18+$F18-1)</formula>
    </cfRule>
    <cfRule type="expression" dxfId="11" priority="181" stopIfTrue="1">
      <formula>AND(LEN($B18)=0,H$5&gt;=$E18,H$5&lt;=$E18+$F18-1)</formula>
    </cfRule>
  </conditionalFormatting>
  <conditionalFormatting sqref="H21:BK32">
    <cfRule type="expression" dxfId="10" priority="189" stopIfTrue="1">
      <formula>AND($B21="Low Risk",H$5&gt;=$E21,H$5&lt;=$E21+$F21-1)</formula>
    </cfRule>
    <cfRule type="expression" dxfId="9" priority="190" stopIfTrue="1">
      <formula>AND($B21="High Risk",H$5&gt;=$E21,H$5&lt;=$E21+$F21-1)</formula>
    </cfRule>
    <cfRule type="expression" dxfId="8" priority="191" stopIfTrue="1">
      <formula>AND($B21="On Track",H$5&gt;=$E21,H$5&lt;=$E21+$F21-1)</formula>
    </cfRule>
    <cfRule type="expression" dxfId="7" priority="192" stopIfTrue="1">
      <formula>AND($B21="Med Risk",H$5&gt;=$E21,H$5&lt;=$E21+$F21-1)</formula>
    </cfRule>
    <cfRule type="expression" dxfId="6" priority="193" stopIfTrue="1">
      <formula>AND(LEN($B21)=0,H$5&gt;=$E21,H$5&lt;=$E21+$F21-1)</formula>
    </cfRule>
  </conditionalFormatting>
  <conditionalFormatting sqref="H33:BK33">
    <cfRule type="expression" dxfId="5" priority="75" stopIfTrue="1">
      <formula>AND(#REF!="Low Risk",H$5&gt;=#REF!,H$5&lt;=#REF!+#REF!-1)</formula>
    </cfRule>
    <cfRule type="expression" dxfId="4" priority="76" stopIfTrue="1">
      <formula>AND(#REF!="High Risk",H$5&gt;=#REF!,H$5&lt;=#REF!+#REF!-1)</formula>
    </cfRule>
    <cfRule type="expression" dxfId="3" priority="77" stopIfTrue="1">
      <formula>AND(#REF!="On Track",H$5&gt;=#REF!,H$5&lt;=#REF!+#REF!-1)</formula>
    </cfRule>
    <cfRule type="expression" dxfId="2" priority="78" stopIfTrue="1">
      <formula>AND(#REF!="Med Risk",H$5&gt;=#REF!,H$5&lt;=#REF!+#REF!-1)</formula>
    </cfRule>
    <cfRule type="expression" dxfId="1" priority="79" stopIfTrue="1">
      <formula>AND(LEN(#REF!)=0,H$5&gt;=#REF!,H$5&lt;=#REF!+#REF!-1)</formula>
    </cfRule>
  </conditionalFormatting>
  <conditionalFormatting sqref="I4:BK4">
    <cfRule type="expression" dxfId="0" priority="7">
      <formula>AND(I$5&lt;=EOMONTH($H$5,2),I$5&gt;EOMONTH($H$5,0),I$5&gt;EOMONTH($H$5,1))</formula>
    </cfRule>
  </conditionalFormatting>
  <dataValidations xWindow="103" yWindow="346" count="13">
    <dataValidation type="whole" operator="greaterThanOrEqual" allowBlank="1" showInputMessage="1" promptTitle="Display Increment" prompt="Changing this number will change the Gantt Chart view." sqref="E4" xr:uid="{00000000-0002-0000-0000-000000000000}">
      <formula1>0</formula1>
    </dataValidation>
    <dataValidation type="list" allowBlank="1" showInputMessage="1" showErrorMessage="1" sqref="B8 B20:B32 B10:B19" xr:uid="{00000000-0002-0000-0000-000001000000}">
      <formula1>"Goal,Milestone,On Track, Low Risk, Med Risk, High Risk"</formula1>
    </dataValidation>
    <dataValidation type="list" allowBlank="1" showInputMessage="1" sqref="B9" xr:uid="{00000000-0002-0000-0000-000002000000}">
      <formula1>"Goal,Milestone,On Track, Low Risk, Med Risk, High Risk"</formula1>
    </dataValidation>
    <dataValidation allowBlank="1" showInputMessage="1" showErrorMessage="1" prompt="This is an empty row" sqref="A32" xr:uid="{00000000-0002-0000-0000-000003000000}"/>
    <dataValidation allowBlank="1" showInputMessage="1" showErrorMessage="1" prompt="This row marks the end of the Gantt milestone data. DO NOT enter anything in this row. _x000a_To add more items, insert new rows above this one." sqref="A33" xr:uid="{00000000-0002-0000-0000-000004000000}"/>
    <dataValidation allowBlank="1" showInputMessage="1" showErrorMessage="1" prompt="Create a Gantt Chart in this worksheet._x000a_Enter title of this project in cell A1. _x000a_Legend title is in cell H1._x000a_" sqref="A1" xr:uid="{00000000-0002-0000-0000-000005000000}"/>
    <dataValidation allowBlank="1" showInputMessage="1" showErrorMessage="1" prompt="Enter Company Name in cell A2._x000a_A legend is in cells H2 through AB2." sqref="A2" xr:uid="{00000000-0002-0000-0000-000006000000}"/>
    <dataValidation allowBlank="1" showInputMessage="1" showErrorMessage="1" prompt="Enter the name of the Project Lead in cell A3. Enter the Project Start date in cell E3 or allow the sample formula to find the smallest date value from the Gantt Data table.  _x000a_Project Start Date: label is in cell C3." sqref="A3" xr:uid="{00000000-0002-0000-0000-000007000000}"/>
    <dataValidation allowBlank="1" showInputMessage="1" showErrorMessage="1" prompt="Change the number in cell E4 to change the Gantt Chart view._x000a_Months for the dates in row 5 are displayed starting in cells H4 through cell BK4._x000a_Do not modify these cells. They are auto updated based on the project start date in cell E3." sqref="A4" xr:uid="{00000000-0002-0000-0000-000008000000}"/>
    <dataValidation allowBlank="1" showInputMessage="1" showErrorMessage="1" prompt="Cells H5-BL5 have the day number of the month for the Month represented in the cell block above each date cell and are auto calculated. Do not modify these cells. Today's date is outlined in red." sqref="A5 C5:G5" xr:uid="{00000000-0002-0000-0000-000009000000}"/>
    <dataValidation allowBlank="1" showInputMessage="1" showErrorMessage="1" prompt="Weeks are listed in cells H6 through BL6. The increments can be changed in cell E4." sqref="A6" xr:uid="{00000000-0002-0000-0000-00000A000000}"/>
    <dataValidation allowBlank="1" showInputMessage="1" showErrorMessage="1" prompt="This row contains headers for the project schedule that follows below them. _x000a_Navigate from A7 through BL7 to hear the content. The first letter of each day of the week for the date above that heading, starts in cell H7 and continues through cell BL7." sqref="A7" xr:uid="{00000000-0002-0000-0000-00000B000000}"/>
    <dataValidation allowBlank="1" showInputMessage="1" showErrorMessage="1" prompt="Enter Project information starting in A9-F9. Sample data in A9-F33. Enter Milestone Description, select a Category from drop-down list, assign someone to item, enter progress, start date &amp; # of days for task to start charting. Next instruction is in A34" sqref="A9" xr:uid="{00000000-0002-0000-0000-00000C000000}"/>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 xmlns:xm="http://schemas.microsoft.com/office/excel/2006/main">
          <x14:cfRule type="iconSet" priority="84"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H8:BK17</xm:sqref>
        </x14:conditionalFormatting>
        <x14:conditionalFormatting xmlns:xm="http://schemas.microsoft.com/office/excel/2006/main">
          <x14:cfRule type="iconSet" priority="138"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H18:BK18</xm:sqref>
        </x14:conditionalFormatting>
        <x14:conditionalFormatting xmlns:xm="http://schemas.microsoft.com/office/excel/2006/main">
          <x14:cfRule type="iconSet" priority="182"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H19:BK19</xm:sqref>
        </x14:conditionalFormatting>
        <x14:conditionalFormatting xmlns:xm="http://schemas.microsoft.com/office/excel/2006/main">
          <x14:cfRule type="iconSet" priority="176"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H20:BK20</xm:sqref>
        </x14:conditionalFormatting>
        <x14:conditionalFormatting xmlns:xm="http://schemas.microsoft.com/office/excel/2006/main">
          <x14:cfRule type="iconSet" priority="188"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H21:BK32</xm:sqref>
        </x14:conditionalFormatting>
        <x14:conditionalFormatting xmlns:xm="http://schemas.microsoft.com/office/excel/2006/main">
          <x14:cfRule type="iconSet" priority="74"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H33:BK33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9389629810485"/>
  </sheetPr>
  <dimension ref="A1:A5"/>
  <sheetViews>
    <sheetView showGridLines="0" zoomScaleNormal="100" workbookViewId="0"/>
  </sheetViews>
  <sheetFormatPr defaultColWidth="9.140625" defaultRowHeight="12.75" x14ac:dyDescent="0.2"/>
  <cols>
    <col min="1" max="1" width="87.140625" style="10" customWidth="1"/>
    <col min="2" max="16384" width="9.140625" style="8"/>
  </cols>
  <sheetData>
    <row r="1" spans="1:1" s="9" customFormat="1" ht="26.25" x14ac:dyDescent="0.4">
      <c r="A1" s="11" t="s">
        <v>24</v>
      </c>
    </row>
    <row r="2" spans="1:1" ht="105" x14ac:dyDescent="0.2">
      <c r="A2" s="12" t="s">
        <v>25</v>
      </c>
    </row>
    <row r="3" spans="1:1" ht="26.25" customHeight="1" x14ac:dyDescent="0.2">
      <c r="A3" s="11" t="s">
        <v>26</v>
      </c>
    </row>
    <row r="4" spans="1:1" s="10" customFormat="1" ht="204.95" customHeight="1" x14ac:dyDescent="0.25">
      <c r="A4" s="12" t="s">
        <v>27</v>
      </c>
    </row>
    <row r="5" spans="1:1" ht="15" x14ac:dyDescent="0.2">
      <c r="A5" s="12" t="s">
        <v>28</v>
      </c>
    </row>
  </sheetData>
  <pageMargins left="0.5" right="0.5" top="0.5" bottom="0.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29BAB36DD27A47995D5D1B42241E13" ma:contentTypeVersion="4" ma:contentTypeDescription="Create a new document." ma:contentTypeScope="" ma:versionID="bb8de86ad685c5ac40d9437b5e37b65b">
  <xsd:schema xmlns:xsd="http://www.w3.org/2001/XMLSchema" xmlns:xs="http://www.w3.org/2001/XMLSchema" xmlns:p="http://schemas.microsoft.com/office/2006/metadata/properties" xmlns:ns2="831cee23-c40e-4e04-be4a-56bb0fd026f4" targetNamespace="http://schemas.microsoft.com/office/2006/metadata/properties" ma:root="true" ma:fieldsID="797b57de7cf9727aef36f517243570cc" ns2:_="">
    <xsd:import namespace="831cee23-c40e-4e04-be4a-56bb0fd026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1cee23-c40e-4e04-be4a-56bb0fd02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81E62B-6B14-45C1-8264-5764CCB03E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1cee23-c40e-4e04-be4a-56bb0fd026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0AEC4C-D3EE-4DFF-9F16-2EEFDBD54706}">
  <ds:schemaRefs>
    <ds:schemaRef ds:uri="http://schemas.microsoft.com/sharepoint/v3/contenttype/forms"/>
  </ds:schemaRefs>
</ds:datastoreItem>
</file>

<file path=customXml/itemProps3.xml><?xml version="1.0" encoding="utf-8"?>
<ds:datastoreItem xmlns:ds="http://schemas.openxmlformats.org/officeDocument/2006/customXml" ds:itemID="{5226539F-1D2F-4707-823B-07BBC46188C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Gantt</vt:lpstr>
      <vt:lpstr>About</vt:lpstr>
      <vt:lpstr>Gantt!Print_Titles</vt:lpstr>
      <vt:lpstr>Project_Start</vt:lpstr>
      <vt:lpstr>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2019-09-12T15:33:29Z</dcterms:created>
  <dcterms:modified xsi:type="dcterms:W3CDTF">2025-03-10T03:45:09Z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2019-04-04T23:58:56.0894322Z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fed7de0b-80cb-446c-b98d-d2b059987859</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y fmtid="{D5CDD505-2E9C-101B-9397-08002B2CF9AE}" pid="11" name="ContentTypeId">
    <vt:lpwstr>0x0101009C29BAB36DD27A47995D5D1B42241E13</vt:lpwstr>
  </property>
  <property fmtid="{D5CDD505-2E9C-101B-9397-08002B2CF9AE}" pid="12" name="Order">
    <vt:r8>1500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